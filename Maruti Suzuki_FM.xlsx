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ngk\Downloads\"/>
    </mc:Choice>
  </mc:AlternateContent>
  <xr:revisionPtr revIDLastSave="0" documentId="8_{4FA7F0FF-0913-493D-9D42-9875F9139AB4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FINANCIALS&gt;" sheetId="7" r:id="rId1"/>
    <sheet name="HISTORIACLFINANCIALS" sheetId="8" r:id="rId2"/>
    <sheet name="RATIO ANALYSIS" sheetId="12" r:id="rId3"/>
    <sheet name="FORECASTING" sheetId="11" r:id="rId4"/>
    <sheet name="Data Sheet" sheetId="6" r:id="rId5"/>
    <sheet name="Cash Flow" sheetId="9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11" l="1"/>
  <c r="C6" i="11"/>
  <c r="C7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H5" i="1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6" i="11"/>
  <c r="B3" i="11"/>
  <c r="C5" i="11"/>
  <c r="D5" i="11" l="1" a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l="1"/>
  <c r="E13" i="11"/>
  <c r="E12" i="11"/>
  <c r="E11" i="11"/>
  <c r="E10" i="11"/>
  <c r="E9" i="11"/>
  <c r="E8" i="11"/>
  <c r="E7" i="11"/>
  <c r="E14" i="11"/>
  <c r="D5" i="11"/>
  <c r="D15" i="11" s="1"/>
  <c r="E15" i="11" s="1"/>
  <c r="E6" i="11" l="1"/>
  <c r="B17" i="11"/>
  <c r="D16" i="11"/>
  <c r="E16" i="11" s="1"/>
  <c r="B18" i="11" l="1"/>
  <c r="D17" i="11"/>
  <c r="E17" i="11" s="1"/>
  <c r="B19" i="11" l="1"/>
  <c r="D19" i="11" s="1"/>
  <c r="D18" i="11"/>
  <c r="E18" i="11" s="1"/>
  <c r="E19" i="11" l="1"/>
  <c r="O40" i="12" l="1"/>
  <c r="O39" i="12"/>
  <c r="O38" i="12"/>
  <c r="O36" i="12"/>
  <c r="O35" i="12"/>
  <c r="O34" i="12"/>
  <c r="O33" i="12"/>
  <c r="O31" i="12"/>
  <c r="O30" i="12"/>
  <c r="O29" i="12"/>
  <c r="O28" i="12"/>
  <c r="O27" i="12"/>
  <c r="O25" i="12"/>
  <c r="O23" i="12"/>
  <c r="O21" i="12"/>
  <c r="O19" i="12"/>
  <c r="O18" i="12"/>
  <c r="O17" i="12"/>
  <c r="O15" i="12"/>
  <c r="O14" i="12"/>
  <c r="O13" i="12"/>
  <c r="O12" i="12"/>
  <c r="O11" i="12"/>
  <c r="O9" i="12"/>
  <c r="O8" i="12"/>
  <c r="O7" i="12"/>
  <c r="O6" i="12"/>
  <c r="O5" i="12"/>
  <c r="N40" i="12"/>
  <c r="N39" i="12"/>
  <c r="N38" i="12"/>
  <c r="N36" i="12"/>
  <c r="N35" i="12"/>
  <c r="N34" i="12"/>
  <c r="N33" i="12"/>
  <c r="N31" i="12"/>
  <c r="N30" i="12"/>
  <c r="N29" i="12"/>
  <c r="N28" i="12"/>
  <c r="N27" i="12"/>
  <c r="N25" i="12"/>
  <c r="N23" i="12"/>
  <c r="N21" i="12"/>
  <c r="N19" i="12"/>
  <c r="N18" i="12"/>
  <c r="N17" i="12"/>
  <c r="N15" i="12"/>
  <c r="N14" i="12"/>
  <c r="N13" i="12"/>
  <c r="N12" i="12"/>
  <c r="N11" i="12"/>
  <c r="N9" i="12"/>
  <c r="N8" i="12"/>
  <c r="N7" i="12"/>
  <c r="N6" i="12"/>
  <c r="N5" i="12"/>
  <c r="L40" i="12" l="1"/>
  <c r="K40" i="12"/>
  <c r="J40" i="12"/>
  <c r="I40" i="12"/>
  <c r="H40" i="12"/>
  <c r="G40" i="12"/>
  <c r="F40" i="12"/>
  <c r="E40" i="12"/>
  <c r="D40" i="12"/>
  <c r="C40" i="12"/>
  <c r="L39" i="12"/>
  <c r="K39" i="12"/>
  <c r="J39" i="12"/>
  <c r="I39" i="12"/>
  <c r="H39" i="12"/>
  <c r="G39" i="12"/>
  <c r="F39" i="12"/>
  <c r="E39" i="12"/>
  <c r="D39" i="12"/>
  <c r="L38" i="12"/>
  <c r="K38" i="12"/>
  <c r="J38" i="12"/>
  <c r="I38" i="12"/>
  <c r="H38" i="12"/>
  <c r="G38" i="12"/>
  <c r="F38" i="12"/>
  <c r="E38" i="12"/>
  <c r="D38" i="12"/>
  <c r="C39" i="12"/>
  <c r="C38" i="12"/>
  <c r="F35" i="12"/>
  <c r="E35" i="12"/>
  <c r="D35" i="12"/>
  <c r="L34" i="12"/>
  <c r="D34" i="12"/>
  <c r="L33" i="12"/>
  <c r="K33" i="12"/>
  <c r="J33" i="12"/>
  <c r="I33" i="12"/>
  <c r="C35" i="12"/>
  <c r="C34" i="12"/>
  <c r="D31" i="12"/>
  <c r="E31" i="12"/>
  <c r="F31" i="12"/>
  <c r="G31" i="12"/>
  <c r="H31" i="12"/>
  <c r="I31" i="12"/>
  <c r="J31" i="12"/>
  <c r="K31" i="12"/>
  <c r="L31" i="12"/>
  <c r="C30" i="12"/>
  <c r="C31" i="12"/>
  <c r="L30" i="12"/>
  <c r="K30" i="12"/>
  <c r="J30" i="12"/>
  <c r="I30" i="12"/>
  <c r="H30" i="12"/>
  <c r="G30" i="12"/>
  <c r="F30" i="12"/>
  <c r="E30" i="12"/>
  <c r="D30" i="12"/>
  <c r="L29" i="12"/>
  <c r="L35" i="12" s="1"/>
  <c r="L36" i="12" s="1"/>
  <c r="K29" i="12"/>
  <c r="K35" i="12" s="1"/>
  <c r="J29" i="12"/>
  <c r="J35" i="12" s="1"/>
  <c r="I29" i="12"/>
  <c r="I35" i="12" s="1"/>
  <c r="H29" i="12"/>
  <c r="H35" i="12" s="1"/>
  <c r="G29" i="12"/>
  <c r="G35" i="12" s="1"/>
  <c r="F29" i="12"/>
  <c r="E29" i="12"/>
  <c r="D29" i="12"/>
  <c r="C29" i="12"/>
  <c r="C28" i="12"/>
  <c r="D28" i="12"/>
  <c r="E28" i="12"/>
  <c r="E34" i="12" s="1"/>
  <c r="F28" i="12"/>
  <c r="F34" i="12" s="1"/>
  <c r="F36" i="12" s="1"/>
  <c r="G28" i="12"/>
  <c r="G34" i="12" s="1"/>
  <c r="H28" i="12"/>
  <c r="H34" i="12" s="1"/>
  <c r="I28" i="12"/>
  <c r="I34" i="12" s="1"/>
  <c r="I36" i="12" s="1"/>
  <c r="J28" i="12"/>
  <c r="J34" i="12" s="1"/>
  <c r="J36" i="12" s="1"/>
  <c r="K28" i="12"/>
  <c r="K34" i="12" s="1"/>
  <c r="L28" i="12"/>
  <c r="L27" i="12"/>
  <c r="K27" i="12"/>
  <c r="J27" i="12"/>
  <c r="I27" i="12"/>
  <c r="H27" i="12"/>
  <c r="H33" i="12" s="1"/>
  <c r="G27" i="12"/>
  <c r="G33" i="12" s="1"/>
  <c r="F27" i="12"/>
  <c r="F33" i="12" s="1"/>
  <c r="E27" i="12"/>
  <c r="E33" i="12" s="1"/>
  <c r="D27" i="12"/>
  <c r="D33" i="12" s="1"/>
  <c r="D36" i="12" s="1"/>
  <c r="C27" i="12"/>
  <c r="C33" i="12" s="1"/>
  <c r="C36" i="12" s="1"/>
  <c r="L25" i="12"/>
  <c r="K25" i="12"/>
  <c r="J25" i="12"/>
  <c r="I25" i="12"/>
  <c r="H25" i="12"/>
  <c r="G25" i="12"/>
  <c r="F25" i="12"/>
  <c r="E25" i="12"/>
  <c r="D25" i="12"/>
  <c r="C25" i="12"/>
  <c r="L24" i="12"/>
  <c r="K24" i="12"/>
  <c r="L23" i="12"/>
  <c r="K23" i="12"/>
  <c r="J23" i="12"/>
  <c r="I23" i="12"/>
  <c r="H23" i="12"/>
  <c r="G23" i="12"/>
  <c r="F23" i="12"/>
  <c r="E23" i="12"/>
  <c r="D23" i="12"/>
  <c r="C23" i="12"/>
  <c r="L22" i="12"/>
  <c r="K22" i="12"/>
  <c r="J22" i="12"/>
  <c r="J24" i="12" s="1"/>
  <c r="I22" i="12"/>
  <c r="I24" i="12" s="1"/>
  <c r="H22" i="12"/>
  <c r="H24" i="12" s="1"/>
  <c r="G22" i="12"/>
  <c r="G24" i="12" s="1"/>
  <c r="F22" i="12"/>
  <c r="F24" i="12" s="1"/>
  <c r="E22" i="12"/>
  <c r="E24" i="12" s="1"/>
  <c r="D22" i="12"/>
  <c r="D24" i="12" s="1"/>
  <c r="C22" i="12"/>
  <c r="L21" i="12"/>
  <c r="K21" i="12"/>
  <c r="J21" i="12"/>
  <c r="I21" i="12"/>
  <c r="H21" i="12"/>
  <c r="G21" i="12"/>
  <c r="F21" i="12"/>
  <c r="E21" i="12"/>
  <c r="D21" i="12"/>
  <c r="C21" i="12"/>
  <c r="L19" i="12"/>
  <c r="H19" i="12"/>
  <c r="G19" i="12"/>
  <c r="F19" i="12"/>
  <c r="E19" i="12"/>
  <c r="D19" i="12"/>
  <c r="C19" i="12"/>
  <c r="L13" i="12"/>
  <c r="K13" i="12"/>
  <c r="K19" i="12" s="1"/>
  <c r="J13" i="12"/>
  <c r="J19" i="12" s="1"/>
  <c r="I13" i="12"/>
  <c r="I19" i="12" s="1"/>
  <c r="H13" i="12"/>
  <c r="G13" i="12"/>
  <c r="F13" i="12"/>
  <c r="E13" i="12"/>
  <c r="D13" i="12"/>
  <c r="C13" i="12"/>
  <c r="L18" i="12"/>
  <c r="K18" i="12"/>
  <c r="J18" i="12"/>
  <c r="I18" i="12"/>
  <c r="H18" i="12"/>
  <c r="G18" i="12"/>
  <c r="F18" i="12"/>
  <c r="E18" i="12"/>
  <c r="D18" i="12"/>
  <c r="C18" i="12"/>
  <c r="L17" i="12"/>
  <c r="K17" i="12"/>
  <c r="J17" i="12"/>
  <c r="I17" i="12"/>
  <c r="H17" i="12"/>
  <c r="G17" i="12"/>
  <c r="F17" i="12"/>
  <c r="E17" i="12"/>
  <c r="D17" i="12"/>
  <c r="C17" i="12"/>
  <c r="L15" i="12"/>
  <c r="K15" i="12"/>
  <c r="J15" i="12"/>
  <c r="I15" i="12"/>
  <c r="H15" i="12"/>
  <c r="G15" i="12"/>
  <c r="F15" i="12"/>
  <c r="E15" i="12"/>
  <c r="D15" i="12"/>
  <c r="C15" i="12"/>
  <c r="L14" i="12"/>
  <c r="K14" i="12"/>
  <c r="J14" i="12"/>
  <c r="I14" i="12"/>
  <c r="H14" i="12"/>
  <c r="G14" i="12"/>
  <c r="F14" i="12"/>
  <c r="E14" i="12"/>
  <c r="D14" i="12"/>
  <c r="C14" i="12"/>
  <c r="L12" i="12"/>
  <c r="K12" i="12"/>
  <c r="J12" i="12"/>
  <c r="I12" i="12"/>
  <c r="H12" i="12"/>
  <c r="G12" i="12"/>
  <c r="F12" i="12"/>
  <c r="E12" i="12"/>
  <c r="D12" i="12"/>
  <c r="C12" i="12"/>
  <c r="L11" i="12"/>
  <c r="K11" i="12"/>
  <c r="J11" i="12"/>
  <c r="I11" i="12"/>
  <c r="H11" i="12"/>
  <c r="G11" i="12"/>
  <c r="F11" i="12"/>
  <c r="E11" i="12"/>
  <c r="D11" i="12"/>
  <c r="C11" i="12"/>
  <c r="L9" i="12"/>
  <c r="K9" i="12"/>
  <c r="J9" i="12"/>
  <c r="I9" i="12"/>
  <c r="H9" i="12"/>
  <c r="G9" i="12"/>
  <c r="F9" i="12"/>
  <c r="E9" i="12"/>
  <c r="D9" i="12"/>
  <c r="L8" i="12"/>
  <c r="K8" i="12"/>
  <c r="J8" i="12"/>
  <c r="I8" i="12"/>
  <c r="H8" i="12"/>
  <c r="G8" i="12"/>
  <c r="F8" i="12"/>
  <c r="E8" i="12"/>
  <c r="D8" i="12"/>
  <c r="L7" i="12"/>
  <c r="K7" i="12"/>
  <c r="J7" i="12"/>
  <c r="I7" i="12"/>
  <c r="H7" i="12"/>
  <c r="G7" i="12"/>
  <c r="F7" i="12"/>
  <c r="E7" i="12"/>
  <c r="D7" i="12"/>
  <c r="L6" i="12"/>
  <c r="K6" i="12"/>
  <c r="J6" i="12"/>
  <c r="I6" i="12"/>
  <c r="H6" i="12"/>
  <c r="G6" i="12"/>
  <c r="F6" i="12"/>
  <c r="E6" i="12"/>
  <c r="D6" i="12"/>
  <c r="L5" i="12"/>
  <c r="K5" i="12"/>
  <c r="J5" i="12"/>
  <c r="I5" i="12"/>
  <c r="H5" i="12"/>
  <c r="G5" i="12"/>
  <c r="F5" i="12"/>
  <c r="E5" i="12"/>
  <c r="D5" i="12"/>
  <c r="B2" i="12"/>
  <c r="L3" i="12"/>
  <c r="K3" i="12"/>
  <c r="J3" i="12"/>
  <c r="I3" i="12"/>
  <c r="H3" i="12"/>
  <c r="G3" i="12"/>
  <c r="F3" i="12"/>
  <c r="E3" i="12"/>
  <c r="D3" i="12"/>
  <c r="C3" i="12"/>
  <c r="O22" i="12" l="1"/>
  <c r="N22" i="12"/>
  <c r="C24" i="12"/>
  <c r="K36" i="12"/>
  <c r="E36" i="12"/>
  <c r="H36" i="12"/>
  <c r="G36" i="12"/>
  <c r="O24" i="12" l="1"/>
  <c r="N24" i="12"/>
  <c r="L100" i="8"/>
  <c r="K100" i="8"/>
  <c r="J100" i="8"/>
  <c r="I100" i="8"/>
  <c r="H100" i="8"/>
  <c r="G100" i="8"/>
  <c r="F100" i="8"/>
  <c r="E100" i="8"/>
  <c r="D100" i="8"/>
  <c r="C100" i="8"/>
  <c r="L98" i="8"/>
  <c r="K98" i="8"/>
  <c r="J98" i="8"/>
  <c r="I98" i="8"/>
  <c r="H98" i="8"/>
  <c r="G98" i="8"/>
  <c r="F98" i="8"/>
  <c r="E98" i="8"/>
  <c r="D98" i="8"/>
  <c r="C98" i="8"/>
  <c r="L97" i="8"/>
  <c r="K97" i="8"/>
  <c r="J97" i="8"/>
  <c r="I97" i="8"/>
  <c r="H97" i="8"/>
  <c r="G97" i="8"/>
  <c r="F97" i="8"/>
  <c r="E97" i="8"/>
  <c r="D97" i="8"/>
  <c r="C97" i="8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E95" i="8"/>
  <c r="D95" i="8"/>
  <c r="C95" i="8"/>
  <c r="L94" i="8"/>
  <c r="K94" i="8"/>
  <c r="J94" i="8"/>
  <c r="I94" i="8"/>
  <c r="H94" i="8"/>
  <c r="G94" i="8"/>
  <c r="F94" i="8"/>
  <c r="E94" i="8"/>
  <c r="D94" i="8"/>
  <c r="C94" i="8"/>
  <c r="L93" i="8"/>
  <c r="K93" i="8"/>
  <c r="J93" i="8"/>
  <c r="I93" i="8"/>
  <c r="H93" i="8"/>
  <c r="G93" i="8"/>
  <c r="F93" i="8"/>
  <c r="E93" i="8"/>
  <c r="D93" i="8"/>
  <c r="C93" i="8"/>
  <c r="L92" i="8"/>
  <c r="K92" i="8"/>
  <c r="J92" i="8"/>
  <c r="I92" i="8"/>
  <c r="H92" i="8"/>
  <c r="G92" i="8"/>
  <c r="F92" i="8"/>
  <c r="E92" i="8"/>
  <c r="D92" i="8"/>
  <c r="C92" i="8"/>
  <c r="L89" i="8"/>
  <c r="K89" i="8"/>
  <c r="J89" i="8"/>
  <c r="I89" i="8"/>
  <c r="H89" i="8"/>
  <c r="G89" i="8"/>
  <c r="F89" i="8"/>
  <c r="E89" i="8"/>
  <c r="D89" i="8"/>
  <c r="C85" i="8"/>
  <c r="C89" i="8" s="1"/>
  <c r="L88" i="8"/>
  <c r="K88" i="8"/>
  <c r="J88" i="8"/>
  <c r="I88" i="8"/>
  <c r="H88" i="8"/>
  <c r="G88" i="8"/>
  <c r="F88" i="8"/>
  <c r="E88" i="8"/>
  <c r="D88" i="8"/>
  <c r="L87" i="8"/>
  <c r="K87" i="8"/>
  <c r="J87" i="8"/>
  <c r="I87" i="8"/>
  <c r="H87" i="8"/>
  <c r="G87" i="8"/>
  <c r="F87" i="8"/>
  <c r="E87" i="8"/>
  <c r="D87" i="8"/>
  <c r="L86" i="8"/>
  <c r="K86" i="8"/>
  <c r="J86" i="8"/>
  <c r="I86" i="8"/>
  <c r="H86" i="8"/>
  <c r="G86" i="8"/>
  <c r="F86" i="8"/>
  <c r="E86" i="8"/>
  <c r="D86" i="8"/>
  <c r="L85" i="8"/>
  <c r="K85" i="8"/>
  <c r="J85" i="8"/>
  <c r="I85" i="8"/>
  <c r="H85" i="8"/>
  <c r="G85" i="8"/>
  <c r="F85" i="8"/>
  <c r="E85" i="8"/>
  <c r="D85" i="8"/>
  <c r="L84" i="8"/>
  <c r="K84" i="8"/>
  <c r="J84" i="8"/>
  <c r="I84" i="8"/>
  <c r="H84" i="8"/>
  <c r="G84" i="8"/>
  <c r="F84" i="8"/>
  <c r="E84" i="8"/>
  <c r="D84" i="8"/>
  <c r="L83" i="8"/>
  <c r="K83" i="8"/>
  <c r="J83" i="8"/>
  <c r="I83" i="8"/>
  <c r="H83" i="8"/>
  <c r="G83" i="8"/>
  <c r="F83" i="8"/>
  <c r="E83" i="8"/>
  <c r="D83" i="8"/>
  <c r="L82" i="8"/>
  <c r="K82" i="8"/>
  <c r="J82" i="8"/>
  <c r="I82" i="8"/>
  <c r="H82" i="8"/>
  <c r="G82" i="8"/>
  <c r="F82" i="8"/>
  <c r="E82" i="8"/>
  <c r="D82" i="8"/>
  <c r="L81" i="8"/>
  <c r="K81" i="8"/>
  <c r="J81" i="8"/>
  <c r="I81" i="8"/>
  <c r="H81" i="8"/>
  <c r="G81" i="8"/>
  <c r="F81" i="8"/>
  <c r="E81" i="8"/>
  <c r="D81" i="8"/>
  <c r="L80" i="8"/>
  <c r="K80" i="8"/>
  <c r="J80" i="8"/>
  <c r="I80" i="8"/>
  <c r="H80" i="8"/>
  <c r="G80" i="8"/>
  <c r="F80" i="8"/>
  <c r="E80" i="8"/>
  <c r="D80" i="8"/>
  <c r="C88" i="8"/>
  <c r="C87" i="8"/>
  <c r="C86" i="8"/>
  <c r="C84" i="8"/>
  <c r="C83" i="8"/>
  <c r="C82" i="8"/>
  <c r="C81" i="8"/>
  <c r="C80" i="8"/>
  <c r="L77" i="8"/>
  <c r="K77" i="8"/>
  <c r="J77" i="8"/>
  <c r="I77" i="8"/>
  <c r="H77" i="8"/>
  <c r="G77" i="8"/>
  <c r="F77" i="8"/>
  <c r="E77" i="8"/>
  <c r="D77" i="8"/>
  <c r="C77" i="8"/>
  <c r="L76" i="8"/>
  <c r="K76" i="8"/>
  <c r="J76" i="8"/>
  <c r="I76" i="8"/>
  <c r="H76" i="8"/>
  <c r="G76" i="8"/>
  <c r="F76" i="8"/>
  <c r="E76" i="8"/>
  <c r="D76" i="8"/>
  <c r="L75" i="8"/>
  <c r="K75" i="8"/>
  <c r="J75" i="8"/>
  <c r="I75" i="8"/>
  <c r="H75" i="8"/>
  <c r="G75" i="8"/>
  <c r="F75" i="8"/>
  <c r="E75" i="8"/>
  <c r="D75" i="8"/>
  <c r="L74" i="8"/>
  <c r="K74" i="8"/>
  <c r="J74" i="8"/>
  <c r="I74" i="8"/>
  <c r="H74" i="8"/>
  <c r="G74" i="8"/>
  <c r="F74" i="8"/>
  <c r="E74" i="8"/>
  <c r="D74" i="8"/>
  <c r="L73" i="8"/>
  <c r="K73" i="8"/>
  <c r="J73" i="8"/>
  <c r="I73" i="8"/>
  <c r="H73" i="8"/>
  <c r="G73" i="8"/>
  <c r="F73" i="8"/>
  <c r="E73" i="8"/>
  <c r="D73" i="8"/>
  <c r="L72" i="8"/>
  <c r="K72" i="8"/>
  <c r="J72" i="8"/>
  <c r="I72" i="8"/>
  <c r="H72" i="8"/>
  <c r="G72" i="8"/>
  <c r="F72" i="8"/>
  <c r="E72" i="8"/>
  <c r="D72" i="8"/>
  <c r="L71" i="8"/>
  <c r="K71" i="8"/>
  <c r="J71" i="8"/>
  <c r="I71" i="8"/>
  <c r="H71" i="8"/>
  <c r="G71" i="8"/>
  <c r="F71" i="8"/>
  <c r="E71" i="8"/>
  <c r="D71" i="8"/>
  <c r="L70" i="8"/>
  <c r="K70" i="8"/>
  <c r="J70" i="8"/>
  <c r="I70" i="8"/>
  <c r="H70" i="8"/>
  <c r="G70" i="8"/>
  <c r="F70" i="8"/>
  <c r="E70" i="8"/>
  <c r="D70" i="8"/>
  <c r="L69" i="8"/>
  <c r="K69" i="8"/>
  <c r="J69" i="8"/>
  <c r="I69" i="8"/>
  <c r="H69" i="8"/>
  <c r="G69" i="8"/>
  <c r="F69" i="8"/>
  <c r="E69" i="8"/>
  <c r="D69" i="8"/>
  <c r="C76" i="8"/>
  <c r="C75" i="8"/>
  <c r="C74" i="8"/>
  <c r="C73" i="8"/>
  <c r="C72" i="8"/>
  <c r="C71" i="8"/>
  <c r="C70" i="8"/>
  <c r="C69" i="8"/>
  <c r="L55" i="8" l="1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L52" i="8"/>
  <c r="K52" i="8"/>
  <c r="K56" i="8" s="1"/>
  <c r="J52" i="8"/>
  <c r="J56" i="8" s="1"/>
  <c r="I52" i="8"/>
  <c r="I56" i="8" s="1"/>
  <c r="H52" i="8"/>
  <c r="H56" i="8" s="1"/>
  <c r="G52" i="8"/>
  <c r="F52" i="8"/>
  <c r="E52" i="8"/>
  <c r="D52" i="8"/>
  <c r="L60" i="8"/>
  <c r="K60" i="8"/>
  <c r="J60" i="8"/>
  <c r="I60" i="8"/>
  <c r="H60" i="8"/>
  <c r="G60" i="8"/>
  <c r="F60" i="8"/>
  <c r="E60" i="8"/>
  <c r="D60" i="8"/>
  <c r="L59" i="8"/>
  <c r="K59" i="8"/>
  <c r="J59" i="8"/>
  <c r="I59" i="8"/>
  <c r="H59" i="8"/>
  <c r="G59" i="8"/>
  <c r="F59" i="8"/>
  <c r="E59" i="8"/>
  <c r="D59" i="8"/>
  <c r="L58" i="8"/>
  <c r="L61" i="8" s="1"/>
  <c r="K58" i="8"/>
  <c r="J58" i="8"/>
  <c r="I58" i="8"/>
  <c r="H58" i="8"/>
  <c r="G58" i="8"/>
  <c r="F58" i="8"/>
  <c r="E58" i="8"/>
  <c r="D58" i="8"/>
  <c r="C60" i="8"/>
  <c r="C59" i="8"/>
  <c r="C58" i="8"/>
  <c r="B60" i="8"/>
  <c r="B59" i="8"/>
  <c r="B58" i="8"/>
  <c r="L54" i="8"/>
  <c r="K54" i="8"/>
  <c r="J54" i="8"/>
  <c r="I54" i="8"/>
  <c r="H54" i="8"/>
  <c r="G54" i="8"/>
  <c r="F54" i="8"/>
  <c r="E54" i="8"/>
  <c r="D54" i="8"/>
  <c r="C54" i="8"/>
  <c r="C53" i="8"/>
  <c r="C52" i="8"/>
  <c r="B55" i="8"/>
  <c r="B54" i="8"/>
  <c r="B53" i="8"/>
  <c r="F50" i="8"/>
  <c r="E50" i="8"/>
  <c r="D50" i="8"/>
  <c r="L49" i="8"/>
  <c r="K49" i="8"/>
  <c r="J49" i="8"/>
  <c r="I49" i="8"/>
  <c r="H49" i="8"/>
  <c r="G49" i="8"/>
  <c r="F49" i="8"/>
  <c r="E49" i="8"/>
  <c r="D49" i="8"/>
  <c r="L48" i="8"/>
  <c r="K48" i="8"/>
  <c r="J48" i="8"/>
  <c r="I48" i="8"/>
  <c r="H48" i="8"/>
  <c r="G48" i="8"/>
  <c r="F48" i="8"/>
  <c r="E48" i="8"/>
  <c r="D48" i="8"/>
  <c r="C49" i="8"/>
  <c r="C48" i="8"/>
  <c r="C50" i="8" s="1"/>
  <c r="L47" i="8"/>
  <c r="K47" i="8"/>
  <c r="J47" i="8"/>
  <c r="J50" i="8" s="1"/>
  <c r="I47" i="8"/>
  <c r="H47" i="8"/>
  <c r="G47" i="8"/>
  <c r="F47" i="8"/>
  <c r="E47" i="8"/>
  <c r="D47" i="8"/>
  <c r="C47" i="8"/>
  <c r="L46" i="8"/>
  <c r="K46" i="8"/>
  <c r="J46" i="8"/>
  <c r="I46" i="8"/>
  <c r="H46" i="8"/>
  <c r="H50" i="8" s="1"/>
  <c r="G46" i="8"/>
  <c r="F46" i="8"/>
  <c r="E46" i="8"/>
  <c r="D46" i="8"/>
  <c r="C46" i="8"/>
  <c r="B49" i="8"/>
  <c r="B48" i="8"/>
  <c r="B47" i="8"/>
  <c r="B46" i="8"/>
  <c r="M40" i="8"/>
  <c r="L40" i="8"/>
  <c r="K40" i="8"/>
  <c r="J40" i="8"/>
  <c r="L35" i="8"/>
  <c r="K35" i="8"/>
  <c r="J35" i="8"/>
  <c r="I35" i="8"/>
  <c r="I40" i="8" s="1"/>
  <c r="H35" i="8"/>
  <c r="H40" i="8" s="1"/>
  <c r="G35" i="8"/>
  <c r="G40" i="8" s="1"/>
  <c r="F35" i="8"/>
  <c r="F40" i="8" s="1"/>
  <c r="E35" i="8"/>
  <c r="E40" i="8" s="1"/>
  <c r="D35" i="8"/>
  <c r="D40" i="8" s="1"/>
  <c r="C35" i="8"/>
  <c r="C40" i="8" s="1"/>
  <c r="M32" i="8"/>
  <c r="M29" i="8"/>
  <c r="L29" i="8"/>
  <c r="K29" i="8"/>
  <c r="J29" i="8"/>
  <c r="I29" i="8"/>
  <c r="H29" i="8"/>
  <c r="G29" i="8"/>
  <c r="F29" i="8"/>
  <c r="E29" i="8"/>
  <c r="D29" i="8"/>
  <c r="C29" i="8"/>
  <c r="M23" i="8"/>
  <c r="L23" i="8"/>
  <c r="K23" i="8"/>
  <c r="J23" i="8"/>
  <c r="I23" i="8"/>
  <c r="H23" i="8"/>
  <c r="G23" i="8"/>
  <c r="F23" i="8"/>
  <c r="E23" i="8"/>
  <c r="D23" i="8"/>
  <c r="C23" i="8"/>
  <c r="M20" i="8"/>
  <c r="M8" i="8"/>
  <c r="M5" i="8"/>
  <c r="M24" i="8" s="1"/>
  <c r="L20" i="8"/>
  <c r="K20" i="8"/>
  <c r="J20" i="8"/>
  <c r="I20" i="8"/>
  <c r="H20" i="8"/>
  <c r="G20" i="8"/>
  <c r="F20" i="8"/>
  <c r="E20" i="8"/>
  <c r="D20" i="8"/>
  <c r="C20" i="8"/>
  <c r="L14" i="8"/>
  <c r="K14" i="8"/>
  <c r="J14" i="8"/>
  <c r="J15" i="8" s="1"/>
  <c r="I14" i="8"/>
  <c r="I15" i="8" s="1"/>
  <c r="H14" i="8"/>
  <c r="H15" i="8" s="1"/>
  <c r="G14" i="8"/>
  <c r="G15" i="8" s="1"/>
  <c r="F14" i="8"/>
  <c r="F15" i="8" s="1"/>
  <c r="E14" i="8"/>
  <c r="E15" i="8" s="1"/>
  <c r="D14" i="8"/>
  <c r="C14" i="8"/>
  <c r="L8" i="8"/>
  <c r="K8" i="8"/>
  <c r="J8" i="8"/>
  <c r="I8" i="8"/>
  <c r="H8" i="8"/>
  <c r="G8" i="8"/>
  <c r="F8" i="8"/>
  <c r="E8" i="8"/>
  <c r="D8" i="8"/>
  <c r="C8" i="8"/>
  <c r="H6" i="8"/>
  <c r="L5" i="8"/>
  <c r="L11" i="8" s="1"/>
  <c r="L12" i="8" s="1"/>
  <c r="K5" i="8"/>
  <c r="K6" i="8" s="1"/>
  <c r="J5" i="8"/>
  <c r="I5" i="8"/>
  <c r="H5" i="8"/>
  <c r="G5" i="8"/>
  <c r="G6" i="8" s="1"/>
  <c r="F5" i="8"/>
  <c r="F6" i="8" s="1"/>
  <c r="E5" i="8"/>
  <c r="E9" i="8" s="1"/>
  <c r="D5" i="8"/>
  <c r="C5" i="8"/>
  <c r="C24" i="8" s="1"/>
  <c r="B2" i="8"/>
  <c r="L3" i="8"/>
  <c r="K3" i="8"/>
  <c r="J3" i="8"/>
  <c r="I3" i="8"/>
  <c r="H3" i="8"/>
  <c r="G3" i="8"/>
  <c r="F3" i="8"/>
  <c r="E3" i="8"/>
  <c r="D3" i="8"/>
  <c r="C3" i="8"/>
  <c r="B6" i="6"/>
  <c r="E1" i="6"/>
  <c r="C61" i="8" l="1"/>
  <c r="H21" i="8"/>
  <c r="F9" i="8"/>
  <c r="K50" i="8"/>
  <c r="I17" i="8"/>
  <c r="I26" i="8" s="1"/>
  <c r="K15" i="8"/>
  <c r="G61" i="8"/>
  <c r="J17" i="8"/>
  <c r="J26" i="8" s="1"/>
  <c r="H61" i="8"/>
  <c r="H63" i="8" s="1"/>
  <c r="H65" i="8" s="1"/>
  <c r="K17" i="8"/>
  <c r="L21" i="8"/>
  <c r="K24" i="8"/>
  <c r="G50" i="8"/>
  <c r="I61" i="8"/>
  <c r="I63" i="8" s="1"/>
  <c r="L50" i="8"/>
  <c r="D61" i="8"/>
  <c r="L17" i="8"/>
  <c r="L26" i="8" s="1"/>
  <c r="L24" i="8"/>
  <c r="J61" i="8"/>
  <c r="J63" i="8" s="1"/>
  <c r="J65" i="8" s="1"/>
  <c r="I50" i="8"/>
  <c r="G24" i="8"/>
  <c r="M33" i="8"/>
  <c r="K61" i="8"/>
  <c r="K63" i="8" s="1"/>
  <c r="I11" i="8"/>
  <c r="I12" i="8" s="1"/>
  <c r="D9" i="8"/>
  <c r="L9" i="8"/>
  <c r="L15" i="8"/>
  <c r="L56" i="8"/>
  <c r="L63" i="8" s="1"/>
  <c r="L65" i="8" s="1"/>
  <c r="M37" i="8"/>
  <c r="K9" i="8"/>
  <c r="J21" i="8"/>
  <c r="C56" i="8"/>
  <c r="K11" i="8"/>
  <c r="K12" i="8" s="1"/>
  <c r="L6" i="8"/>
  <c r="G17" i="8"/>
  <c r="C15" i="8"/>
  <c r="K21" i="8"/>
  <c r="I24" i="8"/>
  <c r="E61" i="8"/>
  <c r="D6" i="8"/>
  <c r="J11" i="8"/>
  <c r="J12" i="8" s="1"/>
  <c r="E6" i="8"/>
  <c r="H9" i="8"/>
  <c r="D15" i="8"/>
  <c r="J24" i="8"/>
  <c r="F61" i="8"/>
  <c r="F17" i="8"/>
  <c r="F18" i="8" s="1"/>
  <c r="J6" i="8"/>
  <c r="I9" i="8"/>
  <c r="I6" i="8"/>
  <c r="G11" i="8"/>
  <c r="G12" i="8" s="1"/>
  <c r="J9" i="8"/>
  <c r="F21" i="8"/>
  <c r="D56" i="8"/>
  <c r="E56" i="8"/>
  <c r="F56" i="8"/>
  <c r="G56" i="8"/>
  <c r="G18" i="8"/>
  <c r="G26" i="8"/>
  <c r="K26" i="8"/>
  <c r="K30" i="8" s="1"/>
  <c r="K18" i="8"/>
  <c r="C9" i="8"/>
  <c r="E11" i="8"/>
  <c r="E12" i="8" s="1"/>
  <c r="F24" i="8"/>
  <c r="F11" i="8"/>
  <c r="F12" i="8" s="1"/>
  <c r="G21" i="8"/>
  <c r="H17" i="8"/>
  <c r="M21" i="8"/>
  <c r="E21" i="8"/>
  <c r="H24" i="8"/>
  <c r="H11" i="8"/>
  <c r="H12" i="8" s="1"/>
  <c r="D17" i="8"/>
  <c r="I21" i="8"/>
  <c r="C21" i="8"/>
  <c r="C11" i="8"/>
  <c r="C12" i="8" s="1"/>
  <c r="D21" i="8"/>
  <c r="D11" i="8"/>
  <c r="D12" i="8" s="1"/>
  <c r="E24" i="8"/>
  <c r="C17" i="8"/>
  <c r="G9" i="8"/>
  <c r="E17" i="8"/>
  <c r="D24" i="8"/>
  <c r="M15" i="8"/>
  <c r="M9" i="8"/>
  <c r="M17" i="8"/>
  <c r="M11" i="8"/>
  <c r="M12" i="8" s="1"/>
  <c r="M6" i="8"/>
  <c r="J18" i="8" l="1"/>
  <c r="I18" i="8"/>
  <c r="K65" i="8"/>
  <c r="I65" i="8"/>
  <c r="G63" i="8"/>
  <c r="G65" i="8" s="1"/>
  <c r="L18" i="8"/>
  <c r="C63" i="8"/>
  <c r="C65" i="8" s="1"/>
  <c r="D63" i="8"/>
  <c r="D65" i="8" s="1"/>
  <c r="G27" i="8"/>
  <c r="G32" i="8"/>
  <c r="F26" i="8"/>
  <c r="G30" i="8"/>
  <c r="E63" i="8"/>
  <c r="E65" i="8" s="1"/>
  <c r="L27" i="8"/>
  <c r="L32" i="8"/>
  <c r="L30" i="8"/>
  <c r="J27" i="8"/>
  <c r="J32" i="8"/>
  <c r="I27" i="8"/>
  <c r="I32" i="8"/>
  <c r="I30" i="8"/>
  <c r="F63" i="8"/>
  <c r="F65" i="8" s="1"/>
  <c r="J30" i="8"/>
  <c r="K27" i="8"/>
  <c r="K32" i="8"/>
  <c r="M41" i="8"/>
  <c r="M43" i="8" s="1"/>
  <c r="M18" i="8"/>
  <c r="M26" i="8"/>
  <c r="D18" i="8"/>
  <c r="D26" i="8"/>
  <c r="E26" i="8"/>
  <c r="E18" i="8"/>
  <c r="C26" i="8"/>
  <c r="C18" i="8"/>
  <c r="H18" i="8"/>
  <c r="H26" i="8"/>
  <c r="D27" i="8" l="1"/>
  <c r="D30" i="8"/>
  <c r="D32" i="8"/>
  <c r="I37" i="8"/>
  <c r="I33" i="8"/>
  <c r="J37" i="8"/>
  <c r="J33" i="8"/>
  <c r="M27" i="8"/>
  <c r="M30" i="8"/>
  <c r="L33" i="8"/>
  <c r="L37" i="8"/>
  <c r="K33" i="8"/>
  <c r="K37" i="8"/>
  <c r="F27" i="8"/>
  <c r="F32" i="8"/>
  <c r="F30" i="8"/>
  <c r="C27" i="8"/>
  <c r="C30" i="8"/>
  <c r="C32" i="8"/>
  <c r="G33" i="8"/>
  <c r="G37" i="8"/>
  <c r="E27" i="8"/>
  <c r="E32" i="8"/>
  <c r="E30" i="8"/>
  <c r="H27" i="8"/>
  <c r="H30" i="8"/>
  <c r="H32" i="8"/>
  <c r="E33" i="8" l="1"/>
  <c r="E37" i="8"/>
  <c r="H37" i="8"/>
  <c r="H33" i="8"/>
  <c r="D37" i="8"/>
  <c r="D41" i="8" s="1"/>
  <c r="D43" i="8" s="1"/>
  <c r="D33" i="8"/>
  <c r="L38" i="8"/>
  <c r="L41" i="8"/>
  <c r="L43" i="8" s="1"/>
  <c r="M38" i="8"/>
  <c r="G38" i="8"/>
  <c r="G41" i="8"/>
  <c r="G43" i="8" s="1"/>
  <c r="C37" i="8"/>
  <c r="C33" i="8"/>
  <c r="J41" i="8"/>
  <c r="J43" i="8" s="1"/>
  <c r="J38" i="8"/>
  <c r="I38" i="8"/>
  <c r="I41" i="8"/>
  <c r="I43" i="8" s="1"/>
  <c r="F33" i="8"/>
  <c r="F37" i="8"/>
  <c r="K38" i="8"/>
  <c r="K41" i="8"/>
  <c r="K43" i="8" s="1"/>
  <c r="D38" i="8" l="1"/>
  <c r="C41" i="8"/>
  <c r="F38" i="8"/>
  <c r="F41" i="8"/>
  <c r="F43" i="8" s="1"/>
  <c r="H38" i="8"/>
  <c r="H41" i="8"/>
  <c r="H43" i="8" s="1"/>
  <c r="E38" i="8"/>
  <c r="E41" i="8"/>
  <c r="E4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<sst xmlns="http://schemas.openxmlformats.org/spreadsheetml/2006/main" count="237" uniqueCount="184">
  <si>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</si>
  <si>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</si>
  <si>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</si>
  <si>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</si>
  <si>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</si>
  <si>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</si>
  <si>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</si>
  <si>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</si>
  <si>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</si>
  <si>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</si>
  <si>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</si>
  <si>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</si>
  <si>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</si>
  <si>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</si>
  <si>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</si>
  <si>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</si>
  <si>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</si>
  <si>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</si>
  <si>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</si>
  <si>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</si>
  <si>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</si>
  <si>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</si>
  <si>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</si>
  <si>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</si>
  <si>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</si>
  <si>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</si>
  <si>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</si>
  <si>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</si>
  <si>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</si>
  <si>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</si>
  <si>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</si>
  <si>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</si>
  <si>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</si>
  <si>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MARUTI SUZUKI INDIA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</si>
  <si>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</si>
  <si>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</si>
  <si>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</si>
  <si>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</si>
  <si>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</si>
  <si>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</si>
  <si>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</si>
  <si>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</si>
  <si>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</si>
  <si>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</si>
  <si>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</si>
  <si>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</si>
  <si>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</si>
  <si>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</si>
  <si>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</si>
  <si>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</si>
  <si>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</si>
  <si>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</si>
  <si>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</si>
  <si>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</si>
  <si>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</si>
  <si>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</si>
  <si>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</si>
  <si>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</si>
  <si>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SALES</t>
  </si>
  <si>
    <t>SALES GROWTH</t>
  </si>
  <si>
    <t>COGS</t>
  </si>
  <si>
    <t>COGS%SALES</t>
  </si>
  <si>
    <t>GROSS PROFIT</t>
  </si>
  <si>
    <t>GROSS MARGIN</t>
  </si>
  <si>
    <t>S&amp;G EXPENSES</t>
  </si>
  <si>
    <t>S&amp;G EXPENSES%SALES</t>
  </si>
  <si>
    <t>EBITDA</t>
  </si>
  <si>
    <t>EBITDA%SALES</t>
  </si>
  <si>
    <t>INTEREST</t>
  </si>
  <si>
    <t>INTEREST%SALES</t>
  </si>
  <si>
    <t>DEPRECIATION</t>
  </si>
  <si>
    <t>DEPRECIATION%SALES</t>
  </si>
  <si>
    <t>EARNING BEFORE TAX</t>
  </si>
  <si>
    <t>EBT%SALES</t>
  </si>
  <si>
    <t>TAX</t>
  </si>
  <si>
    <t>EFFECTIVE TAX RATE</t>
  </si>
  <si>
    <t>NET PROFIT</t>
  </si>
  <si>
    <t>NET MARGINS</t>
  </si>
  <si>
    <t>NO OF EQUITY SHARE</t>
  </si>
  <si>
    <t>EPS GROWTH%</t>
  </si>
  <si>
    <t>DIVIDEND PER SHARE</t>
  </si>
  <si>
    <t>DIVIDEND PAY OUT RATIO</t>
  </si>
  <si>
    <t>RETAINED EARNING</t>
  </si>
  <si>
    <t>-</t>
  </si>
  <si>
    <t xml:space="preserve"> </t>
  </si>
  <si>
    <t>INCOME STATEMENT (in cr.)</t>
  </si>
  <si>
    <t>BALANCE SHEET (in cr.)</t>
  </si>
  <si>
    <t>TOTAL LIABILITIES</t>
  </si>
  <si>
    <t>Fixed Asset Net Block</t>
  </si>
  <si>
    <t>Total Non-Current Assets</t>
  </si>
  <si>
    <t>Total Current Assests</t>
  </si>
  <si>
    <t>Total Assets</t>
  </si>
  <si>
    <t>CHECK</t>
  </si>
  <si>
    <t xml:space="preserve">   CASH FLOW STATEMENT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</si>
  <si>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</si>
  <si>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</si>
  <si>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</si>
  <si>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</si>
  <si>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</si>
  <si>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</si>
  <si>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</si>
  <si>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</si>
  <si>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</si>
  <si>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</si>
  <si>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</si>
  <si>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</si>
  <si>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</si>
  <si>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</si>
  <si>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</si>
  <si>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</si>
  <si>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</si>
  <si>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 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</si>
  <si>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</si>
  <si>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</si>
  <si>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</si>
  <si>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</si>
  <si>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</si>
  <si>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</si>
  <si>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</si>
  <si>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FLOW FROM OPERATING ACTIVITIES</t>
  </si>
  <si>
    <t>INVESTING ACTIVITIES</t>
  </si>
  <si>
    <t>CASH FLOW FROM INVESTING ACTIVITIES</t>
  </si>
  <si>
    <t>FINANCING ACTIVITIES</t>
  </si>
  <si>
    <t>CASH FLOW FORM FINANCING ACTIVITY</t>
  </si>
  <si>
    <t>NET CASHFLOW</t>
  </si>
  <si>
    <t>Sales 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</si>
  <si>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</si>
  <si>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</si>
  <si>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</si>
  <si>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</si>
  <si>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</si>
  <si>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</si>
  <si>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</si>
  <si>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</si>
  <si>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</si>
  <si>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</si>
  <si>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</si>
  <si>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Operating%Sales</t>
  </si>
  <si>
    <t>Return on Capital Employeed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</si>
  <si>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</si>
  <si>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</si>
  <si>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</si>
  <si>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</si>
  <si>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</si>
  <si>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</si>
  <si>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</si>
  <si>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</t>
  </si>
  <si>
    <t xml:space="preserve"> Capital Turnover Ratio</t>
  </si>
  <si>
    <t>Debtor Days</t>
  </si>
  <si>
    <t>Payable Days</t>
  </si>
  <si>
    <t>Inventory Days</t>
  </si>
  <si>
    <t>Cash Conversion Cycle</t>
  </si>
  <si>
    <t>CFO/Sales</t>
  </si>
  <si>
    <t>CFO/Total Asset</t>
  </si>
  <si>
    <t>CFO/Total Debt</t>
  </si>
  <si>
    <t>TREND</t>
  </si>
  <si>
    <t>MEAN</t>
  </si>
  <si>
    <t>MEDIAN</t>
  </si>
  <si>
    <t>YEAR WEIGHT</t>
  </si>
  <si>
    <t>YEAR</t>
  </si>
  <si>
    <t xml:space="preserve">SALES </t>
  </si>
  <si>
    <t>SUMMARY OUTPUT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</si>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</sst>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&quot;X&quot;"/>
    <numFmt numFmtId="168" formatCode="0&quot;Days&quot;"/>
    <numFmt numFmtId="169" formatCode="yyyy&quot;A&quot;"/>
    <numFmt numFmtId="170" formatCode="yyyy&quot;E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275D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7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0" fontId="0" fillId="5" borderId="0" xfId="0" applyFill="1"/>
    <xf numFmtId="0" fontId="1" fillId="5" borderId="0" xfId="0" applyFont="1" applyFill="1"/>
    <xf numFmtId="0" fontId="7" fillId="0" borderId="0" xfId="0" applyFont="1"/>
    <xf numFmtId="166" fontId="0" fillId="0" borderId="0" xfId="0" applyNumberFormat="1"/>
    <xf numFmtId="10" fontId="0" fillId="0" borderId="0" xfId="4" applyNumberFormat="1" applyFont="1"/>
    <xf numFmtId="0" fontId="7" fillId="6" borderId="0" xfId="0" applyFont="1" applyFill="1"/>
    <xf numFmtId="0" fontId="0" fillId="6" borderId="0" xfId="0" applyFill="1" applyAlignment="1">
      <alignment horizontal="right"/>
    </xf>
    <xf numFmtId="10" fontId="0" fillId="6" borderId="0" xfId="4" applyNumberFormat="1" applyFont="1" applyFill="1"/>
    <xf numFmtId="0" fontId="1" fillId="0" borderId="1" xfId="0" applyFont="1" applyBorder="1"/>
    <xf numFmtId="0" fontId="1" fillId="0" borderId="2" xfId="0" applyFont="1" applyBorder="1"/>
    <xf numFmtId="166" fontId="1" fillId="0" borderId="1" xfId="0" applyNumberFormat="1" applyFont="1" applyBorder="1"/>
    <xf numFmtId="166" fontId="1" fillId="0" borderId="2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17" fontId="0" fillId="0" borderId="0" xfId="0" applyNumberFormat="1"/>
    <xf numFmtId="3" fontId="0" fillId="0" borderId="0" xfId="0" applyNumberFormat="1"/>
    <xf numFmtId="166" fontId="1" fillId="0" borderId="0" xfId="0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3" xfId="0" applyBorder="1"/>
    <xf numFmtId="0" fontId="0" fillId="0" borderId="0" xfId="0" applyAlignment="1">
      <alignment horizontal="left"/>
    </xf>
    <xf numFmtId="169" fontId="0" fillId="0" borderId="0" xfId="0" applyNumberFormat="1"/>
    <xf numFmtId="170" fontId="0" fillId="0" borderId="0" xfId="0" applyNumberFormat="1"/>
    <xf numFmtId="0" fontId="0" fillId="0" borderId="4" xfId="0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Continuous"/>
    </xf>
    <xf numFmtId="37" fontId="8" fillId="0" borderId="0" xfId="0" applyNumberFormat="1" applyFont="1"/>
    <xf numFmtId="37" fontId="6" fillId="0" borderId="0" xfId="0" applyNumberFormat="1" applyFont="1"/>
    <xf numFmtId="0" fontId="2" fillId="4" borderId="0" xfId="0" applyFont="1" applyFill="1" applyAlignment="1">
      <alignment horizontal="right"/>
    </xf>
    <xf numFmtId="0" fontId="0" fillId="7" borderId="0" xfId="0" applyFill="1"/>
    <xf numFmtId="0" fontId="2" fillId="4" borderId="0" xfId="0" applyFont="1" applyFill="1" applyAlignment="1">
      <alignment horizontal="center"/>
    </xf>
    <xf numFmtId="43" fontId="1" fillId="0" borderId="0" xfId="0" quotePrefix="1" applyNumberFormat="1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8534912980449"/>
          <c:y val="7.2955292897188009E-2"/>
          <c:w val="0.69847711083668795"/>
          <c:h val="0.6479214489618740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FORECASTING!$C$5:$C$14</c:f>
              <c:numCache>
                <c:formatCode>yyyy"A"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</c:numCache>
            </c:numRef>
          </c:xVal>
          <c:yVal>
            <c:numRef>
              <c:f>FORECASTING!$D$5:$D$14</c:f>
              <c:numCache>
                <c:formatCode>#,##0_);\(#,##0\)</c:formatCode>
                <c:ptCount val="10"/>
                <c:pt idx="0">
                  <c:v>57589</c:v>
                </c:pt>
                <c:pt idx="1">
                  <c:v>68085</c:v>
                </c:pt>
                <c:pt idx="2">
                  <c:v>79809.399999999994</c:v>
                </c:pt>
                <c:pt idx="3">
                  <c:v>86068.5</c:v>
                </c:pt>
                <c:pt idx="4">
                  <c:v>75660</c:v>
                </c:pt>
                <c:pt idx="5">
                  <c:v>70372</c:v>
                </c:pt>
                <c:pt idx="6">
                  <c:v>88329.8</c:v>
                </c:pt>
                <c:pt idx="7">
                  <c:v>117571.3</c:v>
                </c:pt>
                <c:pt idx="8">
                  <c:v>141858.20000000001</c:v>
                </c:pt>
                <c:pt idx="9">
                  <c:v>152913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6-46DF-8749-34DA14726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505567"/>
        <c:axId val="1580504607"/>
      </c:scatterChart>
      <c:valAx>
        <c:axId val="158050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4607"/>
        <c:crosses val="autoZero"/>
        <c:crossBetween val="midCat"/>
      </c:valAx>
      <c:valAx>
        <c:axId val="15805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257772</xdr:colOff>
      <xdr:row>22</xdr:row>
      <xdr:rowOff>62872</xdr:rowOff>
    </xdr:from>
    <xdr:to>
      <xdr:col>5</xdr:col>
      <xdr:colOff>821129</xdr:colOff>
      <xdr:row>27</xdr:row>
      <xdr:rowOff>140310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D28D8-0881-9D7F-5A2C-44CE5C1FB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E7F1-F7AA-453E-9E0A-51A5E99BFCA4}">
  <sheetPr>
    <tabColor theme="1"/>
  </sheetPr>
  <dimension ref="A1"/>
  <sheetViews>
    <sheetView showGridLines="0" workbookViewId="0">
      <selection activeCell="B2" sqref="B2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85A7-5120-4FD6-BE50-67657466B0FC}">
  <sheetPr>
    <tabColor theme="1"/>
  </sheetPr>
  <dimension ref="A2:M100"/>
  <sheetViews>
    <sheetView showGridLines="0" zoomScale="81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C43" sqref="C43"/>
    </sheetView>
  </sheetViews>
  <sheetFormatPr defaultRowHeight="14.5" x14ac:dyDescent="0.35"/>
  <cols>
    <col min="1" max="1" width="1.81640625" customWidth="1"/>
    <col min="2" max="2" width="37.453125" bestFit="1" customWidth="1"/>
    <col min="3" max="9" width="10.54296875" bestFit="1" customWidth="1"/>
    <col min="10" max="10" width="10.7265625" bestFit="1" customWidth="1"/>
    <col min="11" max="11" width="10.90625" bestFit="1" customWidth="1"/>
    <col min="12" max="13" width="10.7265625" bestFit="1" customWidth="1"/>
  </cols>
  <sheetData>
    <row r="2" spans="1:13" x14ac:dyDescent="0.35">
      <c r="A2" s="2"/>
      <c r="B2" s="43" t="str">
        <f>"HISTORICAL FINANCIAL STATEMENT - "&amp;'Data Sheet'!B1</f>
        <v>HISTORICAL FINANCIAL STATEMENT - MARUTI SUZUKI INDIA LTD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35">
      <c r="A3" s="2"/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56</v>
      </c>
    </row>
    <row r="4" spans="1:13" s="11" customFormat="1" x14ac:dyDescent="0.35">
      <c r="A4" s="11" t="s">
        <v>57</v>
      </c>
      <c r="B4" s="12" t="s">
        <v>85</v>
      </c>
    </row>
    <row r="5" spans="1:13" x14ac:dyDescent="0.35">
      <c r="B5" t="s">
        <v>58</v>
      </c>
      <c r="C5" s="14">
        <f>IFERROR('Data Sheet'!B17,0)</f>
        <v>57589</v>
      </c>
      <c r="D5" s="14">
        <f>IFERROR('Data Sheet'!C17,0)</f>
        <v>68085</v>
      </c>
      <c r="E5" s="14">
        <f>IFERROR('Data Sheet'!D17,0)</f>
        <v>79809.399999999994</v>
      </c>
      <c r="F5" s="14">
        <f>IFERROR('Data Sheet'!E17,0)</f>
        <v>86068.5</v>
      </c>
      <c r="G5" s="14">
        <f>IFERROR('Data Sheet'!F17,0)</f>
        <v>75660</v>
      </c>
      <c r="H5" s="14">
        <f>IFERROR('Data Sheet'!G17,0)</f>
        <v>70372</v>
      </c>
      <c r="I5" s="14">
        <f>IFERROR('Data Sheet'!H17,0)</f>
        <v>88329.8</v>
      </c>
      <c r="J5" s="14">
        <f>IFERROR('Data Sheet'!I17,0)</f>
        <v>117571.3</v>
      </c>
      <c r="K5" s="14">
        <f>IFERROR('Data Sheet'!J17,0)</f>
        <v>141858.20000000001</v>
      </c>
      <c r="L5" s="14">
        <f>IFERROR('Data Sheet'!K17,0)</f>
        <v>152913</v>
      </c>
      <c r="M5" s="14">
        <f>IFERROR(SUM('Data Sheet'!H42:K42),0)</f>
        <v>171773.59999999998</v>
      </c>
    </row>
    <row r="6" spans="1:13" x14ac:dyDescent="0.35">
      <c r="B6" s="16" t="s">
        <v>59</v>
      </c>
      <c r="C6" s="17" t="s">
        <v>83</v>
      </c>
      <c r="D6" s="18">
        <f>D5/C5-1</f>
        <v>0.18225702825192314</v>
      </c>
      <c r="E6" s="18">
        <f t="shared" ref="E6:M6" si="0">E5/D5-1</f>
        <v>0.17220239406624072</v>
      </c>
      <c r="F6" s="18">
        <f t="shared" si="0"/>
        <v>7.8425598989592782E-2</v>
      </c>
      <c r="G6" s="18">
        <f t="shared" si="0"/>
        <v>-0.12093274542951249</v>
      </c>
      <c r="H6" s="18">
        <f t="shared" si="0"/>
        <v>-6.9891620407084298E-2</v>
      </c>
      <c r="I6" s="18">
        <f t="shared" si="0"/>
        <v>0.25518387995225389</v>
      </c>
      <c r="J6" s="18">
        <f t="shared" si="0"/>
        <v>0.3310490910202446</v>
      </c>
      <c r="K6" s="18">
        <f t="shared" si="0"/>
        <v>0.20657167182807368</v>
      </c>
      <c r="L6" s="18">
        <f t="shared" si="0"/>
        <v>7.7928522989858751E-2</v>
      </c>
      <c r="M6" s="18">
        <f t="shared" si="0"/>
        <v>0.12334203108957364</v>
      </c>
    </row>
    <row r="8" spans="1:13" x14ac:dyDescent="0.35">
      <c r="B8" t="s">
        <v>60</v>
      </c>
      <c r="C8" s="14">
        <f>IFERROR(SUM('Data Sheet'!B18,'Data Sheet'!B20:B22)-1*'Data Sheet'!B19,0)</f>
        <v>41828.200000000004</v>
      </c>
      <c r="D8" s="14">
        <f>IFERROR(SUM('Data Sheet'!C18,'Data Sheet'!C20:C22)-1*'Data Sheet'!C19,0)</f>
        <v>50004</v>
      </c>
      <c r="E8" s="14">
        <f>IFERROR(SUM('Data Sheet'!D18,'Data Sheet'!D20:D22)-1*'Data Sheet'!D19,0)</f>
        <v>58985.000000000007</v>
      </c>
      <c r="F8" s="14">
        <f>IFERROR(SUM('Data Sheet'!E18,'Data Sheet'!E20:E22)-1*'Data Sheet'!E19,0)</f>
        <v>64182.2</v>
      </c>
      <c r="G8" s="14">
        <f>IFERROR(SUM('Data Sheet'!F18,'Data Sheet'!F20:F22)-1*'Data Sheet'!F19,0)</f>
        <v>57657.1</v>
      </c>
      <c r="H8" s="14">
        <f>IFERROR(SUM('Data Sheet'!G18,'Data Sheet'!G20:G22)-1*'Data Sheet'!G19,0)</f>
        <v>55415.6</v>
      </c>
      <c r="I8" s="14">
        <f>IFERROR(SUM('Data Sheet'!H18,'Data Sheet'!H20:H22)-1*'Data Sheet'!H19,0)</f>
        <v>71578.799999999988</v>
      </c>
      <c r="J8" s="14">
        <f>IFERROR(SUM('Data Sheet'!I18,'Data Sheet'!I20:I22)-1*'Data Sheet'!I19,0)</f>
        <v>92796.1</v>
      </c>
      <c r="K8" s="14">
        <f>IFERROR(SUM('Data Sheet'!J18,'Data Sheet'!J20:J22)-1*'Data Sheet'!J19,0)</f>
        <v>108015.2</v>
      </c>
      <c r="L8" s="14">
        <f>IFERROR(SUM('Data Sheet'!K18,'Data Sheet'!K20:K22)-1*'Data Sheet'!K19,0)</f>
        <v>117563.8</v>
      </c>
      <c r="M8" s="14">
        <f>IFERROR(SUM('Data Sheet'!H43:K43),0)</f>
        <v>151647.9</v>
      </c>
    </row>
    <row r="9" spans="1:13" x14ac:dyDescent="0.35">
      <c r="B9" s="13" t="s">
        <v>61</v>
      </c>
      <c r="C9" s="15">
        <f>C8/C5</f>
        <v>0.72632273524457802</v>
      </c>
      <c r="D9" s="15">
        <f t="shared" ref="D9:M9" si="1">D8/D5</f>
        <v>0.7344348975545274</v>
      </c>
      <c r="E9" s="15">
        <f t="shared" si="1"/>
        <v>0.7390733422378819</v>
      </c>
      <c r="F9" s="15">
        <f t="shared" si="1"/>
        <v>0.74571068393198436</v>
      </c>
      <c r="G9" s="15">
        <f t="shared" si="1"/>
        <v>0.76205524715833994</v>
      </c>
      <c r="H9" s="15">
        <f t="shared" si="1"/>
        <v>0.78746660603649177</v>
      </c>
      <c r="I9" s="15">
        <f t="shared" si="1"/>
        <v>0.81035845207393187</v>
      </c>
      <c r="J9" s="15">
        <f t="shared" si="1"/>
        <v>0.78927510370302956</v>
      </c>
      <c r="K9" s="15">
        <f t="shared" si="1"/>
        <v>0.76143078087837002</v>
      </c>
      <c r="L9" s="15">
        <f t="shared" si="1"/>
        <v>0.76882802639409342</v>
      </c>
      <c r="M9" s="15">
        <f t="shared" si="1"/>
        <v>0.88283589562074738</v>
      </c>
    </row>
    <row r="11" spans="1:13" x14ac:dyDescent="0.35">
      <c r="B11" s="19" t="s">
        <v>62</v>
      </c>
      <c r="C11" s="21">
        <f>IFERROR(C5-C8,0)</f>
        <v>15760.799999999996</v>
      </c>
      <c r="D11" s="21">
        <f t="shared" ref="D11:L11" si="2">IFERROR(D5-D8,0)</f>
        <v>18081</v>
      </c>
      <c r="E11" s="21">
        <f t="shared" si="2"/>
        <v>20824.399999999987</v>
      </c>
      <c r="F11" s="21">
        <f t="shared" si="2"/>
        <v>21886.300000000003</v>
      </c>
      <c r="G11" s="21">
        <f t="shared" si="2"/>
        <v>18002.900000000001</v>
      </c>
      <c r="H11" s="21">
        <f t="shared" si="2"/>
        <v>14956.400000000001</v>
      </c>
      <c r="I11" s="21">
        <f t="shared" si="2"/>
        <v>16751.000000000015</v>
      </c>
      <c r="J11" s="21">
        <f t="shared" si="2"/>
        <v>24775.199999999997</v>
      </c>
      <c r="K11" s="21">
        <f t="shared" si="2"/>
        <v>33843.000000000015</v>
      </c>
      <c r="L11" s="21">
        <f t="shared" si="2"/>
        <v>35349.199999999997</v>
      </c>
      <c r="M11" s="21">
        <f>IFERROR(M5-M8,0)</f>
        <v>20125.699999999983</v>
      </c>
    </row>
    <row r="12" spans="1:13" x14ac:dyDescent="0.35">
      <c r="B12" s="16" t="s">
        <v>63</v>
      </c>
      <c r="C12" s="18">
        <f>IFERROR(C11/C5,0)</f>
        <v>0.27367726475542198</v>
      </c>
      <c r="D12" s="18">
        <f t="shared" ref="D12:M12" si="3">IFERROR(D11/D5,0)</f>
        <v>0.26556510244547255</v>
      </c>
      <c r="E12" s="18">
        <f t="shared" si="3"/>
        <v>0.2609266577621181</v>
      </c>
      <c r="F12" s="18">
        <f t="shared" si="3"/>
        <v>0.25428931606801564</v>
      </c>
      <c r="G12" s="18">
        <f t="shared" si="3"/>
        <v>0.23794475284166008</v>
      </c>
      <c r="H12" s="18">
        <f t="shared" si="3"/>
        <v>0.21253339396350823</v>
      </c>
      <c r="I12" s="18">
        <f t="shared" si="3"/>
        <v>0.18964154792606813</v>
      </c>
      <c r="J12" s="18">
        <f t="shared" si="3"/>
        <v>0.21072489629697042</v>
      </c>
      <c r="K12" s="18">
        <f t="shared" si="3"/>
        <v>0.23856921912162998</v>
      </c>
      <c r="L12" s="18">
        <f t="shared" si="3"/>
        <v>0.23117197360590661</v>
      </c>
      <c r="M12" s="18">
        <f t="shared" si="3"/>
        <v>0.11716410437925261</v>
      </c>
    </row>
    <row r="14" spans="1:13" x14ac:dyDescent="0.35">
      <c r="B14" t="s">
        <v>64</v>
      </c>
      <c r="C14" s="14">
        <f>IFERROR(SUM('Data Sheet'!C23:C24),0)</f>
        <v>7659.7000000000007</v>
      </c>
      <c r="D14" s="14">
        <f>IFERROR(SUM('Data Sheet'!D23:D24),0)</f>
        <v>8706.5</v>
      </c>
      <c r="E14" s="14">
        <f>IFERROR(SUM('Data Sheet'!E23:E24),0)</f>
        <v>10830</v>
      </c>
      <c r="F14" s="14">
        <f>IFERROR(SUM('Data Sheet'!F23:F24),0)</f>
        <v>10647.9</v>
      </c>
      <c r="G14" s="14">
        <f>IFERROR(SUM('Data Sheet'!G23:G24),0)</f>
        <v>9545.7999999999993</v>
      </c>
      <c r="H14" s="14">
        <f>IFERROR(SUM('Data Sheet'!H23:H24),0)</f>
        <v>10999</v>
      </c>
      <c r="I14" s="14">
        <f>IFERROR(SUM('Data Sheet'!I23:I24),0)</f>
        <v>13746</v>
      </c>
      <c r="J14" s="14">
        <f>IFERROR(SUM('Data Sheet'!J23:J24),0)</f>
        <v>15216.7</v>
      </c>
      <c r="K14" s="14">
        <f>IFERROR(SUM('Data Sheet'!K23:K24),0)</f>
        <v>15125.599999999999</v>
      </c>
      <c r="L14" s="14">
        <f>IFERROR(SUM('Data Sheet'!L23:L24),0)</f>
        <v>0</v>
      </c>
    </row>
    <row r="15" spans="1:13" x14ac:dyDescent="0.35">
      <c r="B15" s="16" t="s">
        <v>65</v>
      </c>
      <c r="C15" s="18">
        <f>IFERROR(C14/C5,0)</f>
        <v>0.1330063032870861</v>
      </c>
      <c r="D15" s="18">
        <f t="shared" ref="D15:M15" si="4">IFERROR(D14/D5,0)</f>
        <v>0.12787691855768524</v>
      </c>
      <c r="E15" s="18">
        <f t="shared" si="4"/>
        <v>0.13569830120261525</v>
      </c>
      <c r="F15" s="18">
        <f t="shared" si="4"/>
        <v>0.12371425085832796</v>
      </c>
      <c r="G15" s="18">
        <f t="shared" si="4"/>
        <v>0.12616706317737245</v>
      </c>
      <c r="H15" s="18">
        <f t="shared" si="4"/>
        <v>0.1562979594156767</v>
      </c>
      <c r="I15" s="18">
        <f t="shared" si="4"/>
        <v>0.15562131919239033</v>
      </c>
      <c r="J15" s="18">
        <f t="shared" si="4"/>
        <v>0.12942529341769632</v>
      </c>
      <c r="K15" s="18">
        <f t="shared" si="4"/>
        <v>0.10662478446787001</v>
      </c>
      <c r="L15" s="18">
        <f t="shared" si="4"/>
        <v>0</v>
      </c>
      <c r="M15" s="18">
        <f t="shared" si="4"/>
        <v>0</v>
      </c>
    </row>
    <row r="17" spans="2:13" x14ac:dyDescent="0.35">
      <c r="B17" s="19" t="s">
        <v>66</v>
      </c>
      <c r="C17" s="21">
        <f>IFERROR(C5-C8-C14,0)</f>
        <v>8101.0999999999949</v>
      </c>
      <c r="D17" s="21">
        <f t="shared" ref="D17:L17" si="5">IFERROR(D5-D8-D14,0)</f>
        <v>9374.5</v>
      </c>
      <c r="E17" s="21">
        <f t="shared" si="5"/>
        <v>9994.3999999999869</v>
      </c>
      <c r="F17" s="21">
        <f t="shared" si="5"/>
        <v>11238.400000000003</v>
      </c>
      <c r="G17" s="21">
        <f t="shared" si="5"/>
        <v>8457.1000000000022</v>
      </c>
      <c r="H17" s="21">
        <f t="shared" si="5"/>
        <v>3957.4000000000015</v>
      </c>
      <c r="I17" s="21">
        <f t="shared" si="5"/>
        <v>3005.0000000000146</v>
      </c>
      <c r="J17" s="21">
        <f t="shared" si="5"/>
        <v>9558.4999999999964</v>
      </c>
      <c r="K17" s="21">
        <f t="shared" si="5"/>
        <v>18717.400000000016</v>
      </c>
      <c r="L17" s="21">
        <f t="shared" si="5"/>
        <v>35349.199999999997</v>
      </c>
      <c r="M17" s="21">
        <f>IFERROR(M5-M8-M14,0)</f>
        <v>20125.699999999983</v>
      </c>
    </row>
    <row r="18" spans="2:13" x14ac:dyDescent="0.35">
      <c r="B18" s="16" t="s">
        <v>67</v>
      </c>
      <c r="C18" s="18">
        <f>IFERROR(C17/C5,0)</f>
        <v>0.14067096146833588</v>
      </c>
      <c r="D18" s="18">
        <f t="shared" ref="D18:M18" si="6">IFERROR(D17/D5,0)</f>
        <v>0.13768818388778734</v>
      </c>
      <c r="E18" s="18">
        <f t="shared" si="6"/>
        <v>0.12522835655950287</v>
      </c>
      <c r="F18" s="18">
        <f t="shared" si="6"/>
        <v>0.13057506520968767</v>
      </c>
      <c r="G18" s="18">
        <f t="shared" si="6"/>
        <v>0.11177768966428762</v>
      </c>
      <c r="H18" s="18">
        <f t="shared" si="6"/>
        <v>5.6235434547831545E-2</v>
      </c>
      <c r="I18" s="18">
        <f t="shared" si="6"/>
        <v>3.4020228733677813E-2</v>
      </c>
      <c r="J18" s="18">
        <f t="shared" si="6"/>
        <v>8.1299602879274069E-2</v>
      </c>
      <c r="K18" s="18">
        <f t="shared" si="6"/>
        <v>0.13194443465375999</v>
      </c>
      <c r="L18" s="18">
        <f t="shared" si="6"/>
        <v>0.23117197360590661</v>
      </c>
      <c r="M18" s="18">
        <f t="shared" si="6"/>
        <v>0.11716410437925261</v>
      </c>
    </row>
    <row r="20" spans="2:13" x14ac:dyDescent="0.35">
      <c r="B20" t="s">
        <v>68</v>
      </c>
      <c r="C20" s="14">
        <f>IFERROR('Data Sheet'!B27,0)</f>
        <v>81.7</v>
      </c>
      <c r="D20" s="14">
        <f>IFERROR('Data Sheet'!C27,0)</f>
        <v>89.4</v>
      </c>
      <c r="E20" s="14">
        <f>IFERROR('Data Sheet'!D27,0)</f>
        <v>345.8</v>
      </c>
      <c r="F20" s="14">
        <f>IFERROR('Data Sheet'!E27,0)</f>
        <v>75.900000000000006</v>
      </c>
      <c r="G20" s="14">
        <f>IFERROR('Data Sheet'!F27,0)</f>
        <v>134.19999999999999</v>
      </c>
      <c r="H20" s="14">
        <f>IFERROR('Data Sheet'!G27,0)</f>
        <v>101.8</v>
      </c>
      <c r="I20" s="14">
        <f>IFERROR('Data Sheet'!H27,0)</f>
        <v>126.6</v>
      </c>
      <c r="J20" s="14">
        <f>IFERROR('Data Sheet'!I27,0)</f>
        <v>187</v>
      </c>
      <c r="K20" s="14">
        <f>IFERROR('Data Sheet'!J27,0)</f>
        <v>193.6</v>
      </c>
      <c r="L20" s="14">
        <f>IFERROR('Data Sheet'!K27,0)</f>
        <v>194.2</v>
      </c>
      <c r="M20" s="14">
        <f>IFERROR(SUM('Data Sheet'!H46:K46),0)</f>
        <v>213.3</v>
      </c>
    </row>
    <row r="21" spans="2:13" x14ac:dyDescent="0.35">
      <c r="B21" s="16" t="s">
        <v>69</v>
      </c>
      <c r="C21" s="18">
        <f>IFERROR(C20/C5,0)</f>
        <v>1.418673705047839E-3</v>
      </c>
      <c r="D21" s="18">
        <f t="shared" ref="D21:M21" si="7">IFERROR(D20/D5,0)</f>
        <v>1.313064551663362E-3</v>
      </c>
      <c r="E21" s="18">
        <f t="shared" si="7"/>
        <v>4.3328229506799957E-3</v>
      </c>
      <c r="F21" s="18">
        <f t="shared" si="7"/>
        <v>8.8185573119085381E-4</v>
      </c>
      <c r="G21" s="18">
        <f t="shared" si="7"/>
        <v>1.7737245572297118E-3</v>
      </c>
      <c r="H21" s="18">
        <f t="shared" si="7"/>
        <v>1.4465980787813333E-3</v>
      </c>
      <c r="I21" s="18">
        <f t="shared" si="7"/>
        <v>1.4332648777649218E-3</v>
      </c>
      <c r="J21" s="18">
        <f t="shared" si="7"/>
        <v>1.5905242180702262E-3</v>
      </c>
      <c r="K21" s="18">
        <f t="shared" si="7"/>
        <v>1.3647431026193762E-3</v>
      </c>
      <c r="L21" s="18">
        <f t="shared" si="7"/>
        <v>1.2700032044365096E-3</v>
      </c>
      <c r="M21" s="18">
        <f t="shared" si="7"/>
        <v>1.241750769617683E-3</v>
      </c>
    </row>
    <row r="23" spans="2:13" x14ac:dyDescent="0.35">
      <c r="B23" t="s">
        <v>70</v>
      </c>
      <c r="C23" s="14">
        <f>IFERROR('Data Sheet'!C26,0)</f>
        <v>2603.9</v>
      </c>
      <c r="D23" s="14">
        <f>IFERROR('Data Sheet'!D26,0)</f>
        <v>2759.8</v>
      </c>
      <c r="E23" s="14">
        <f>IFERROR('Data Sheet'!E26,0)</f>
        <v>3020.8</v>
      </c>
      <c r="F23" s="14">
        <f>IFERROR('Data Sheet'!F26,0)</f>
        <v>3528.4</v>
      </c>
      <c r="G23" s="14">
        <f>IFERROR('Data Sheet'!G26,0)</f>
        <v>3034.1</v>
      </c>
      <c r="H23" s="14">
        <f>IFERROR('Data Sheet'!H26,0)</f>
        <v>2789</v>
      </c>
      <c r="I23" s="14">
        <f>IFERROR('Data Sheet'!I26,0)</f>
        <v>2825.7</v>
      </c>
      <c r="J23" s="14">
        <f>IFERROR('Data Sheet'!J26,0)</f>
        <v>5255.8</v>
      </c>
      <c r="K23" s="14">
        <f>IFERROR('Data Sheet'!K26,0)</f>
        <v>5608.2</v>
      </c>
      <c r="L23" s="14">
        <f>IFERROR('Data Sheet'!L26,0)</f>
        <v>0</v>
      </c>
      <c r="M23" s="14">
        <f>IFERROR(SUM('Data Sheet'!H45:K45),0)</f>
        <v>6455.4</v>
      </c>
    </row>
    <row r="24" spans="2:13" x14ac:dyDescent="0.35">
      <c r="B24" s="16" t="s">
        <v>71</v>
      </c>
      <c r="C24" s="18">
        <f>IFERROR(C23/C5,0)</f>
        <v>4.5215232075569989E-2</v>
      </c>
      <c r="D24" s="18">
        <f t="shared" ref="D24:M24" si="8">IFERROR(D23/D5,0)</f>
        <v>4.0534625835352868E-2</v>
      </c>
      <c r="E24" s="18">
        <f t="shared" si="8"/>
        <v>3.7850178049202231E-2</v>
      </c>
      <c r="F24" s="18">
        <f t="shared" si="8"/>
        <v>4.0995253780419086E-2</v>
      </c>
      <c r="G24" s="18">
        <f t="shared" si="8"/>
        <v>4.0101771081152524E-2</v>
      </c>
      <c r="H24" s="18">
        <f t="shared" si="8"/>
        <v>3.9632240095492523E-2</v>
      </c>
      <c r="I24" s="18">
        <f t="shared" si="8"/>
        <v>3.1990336217222269E-2</v>
      </c>
      <c r="J24" s="18">
        <f t="shared" si="8"/>
        <v>4.4703086552585536E-2</v>
      </c>
      <c r="K24" s="18">
        <f t="shared" si="8"/>
        <v>3.9533844360072234E-2</v>
      </c>
      <c r="L24" s="18">
        <f t="shared" si="8"/>
        <v>0</v>
      </c>
      <c r="M24" s="18">
        <f t="shared" si="8"/>
        <v>3.7580862251242339E-2</v>
      </c>
    </row>
    <row r="26" spans="2:13" x14ac:dyDescent="0.35">
      <c r="B26" s="20" t="s">
        <v>72</v>
      </c>
      <c r="C26" s="22">
        <f>IFERROR(C17-C23,0)</f>
        <v>5497.1999999999953</v>
      </c>
      <c r="D26" s="22">
        <f t="shared" ref="D26:M26" si="9">IFERROR(D17-D23,0)</f>
        <v>6614.7</v>
      </c>
      <c r="E26" s="22">
        <f t="shared" si="9"/>
        <v>6973.5999999999867</v>
      </c>
      <c r="F26" s="22">
        <f t="shared" si="9"/>
        <v>7710.0000000000036</v>
      </c>
      <c r="G26" s="22">
        <f t="shared" si="9"/>
        <v>5423.0000000000018</v>
      </c>
      <c r="H26" s="22">
        <f t="shared" si="9"/>
        <v>1168.4000000000015</v>
      </c>
      <c r="I26" s="22">
        <f t="shared" si="9"/>
        <v>179.30000000001473</v>
      </c>
      <c r="J26" s="22">
        <f t="shared" si="9"/>
        <v>4302.6999999999962</v>
      </c>
      <c r="K26" s="22">
        <f t="shared" si="9"/>
        <v>13109.200000000015</v>
      </c>
      <c r="L26" s="22">
        <f t="shared" si="9"/>
        <v>35349.199999999997</v>
      </c>
      <c r="M26" s="22">
        <f t="shared" si="9"/>
        <v>13670.299999999983</v>
      </c>
    </row>
    <row r="27" spans="2:13" x14ac:dyDescent="0.35">
      <c r="B27" s="16" t="s">
        <v>73</v>
      </c>
      <c r="C27" s="18">
        <f>IFERROR(C26/C5,0)</f>
        <v>9.5455729392765892E-2</v>
      </c>
      <c r="D27" s="18">
        <f t="shared" ref="D27:M27" si="10">IFERROR(D26/D5,0)</f>
        <v>9.7153558052434461E-2</v>
      </c>
      <c r="E27" s="18">
        <f t="shared" si="10"/>
        <v>8.7378178510300636E-2</v>
      </c>
      <c r="F27" s="18">
        <f t="shared" si="10"/>
        <v>8.9579811429268588E-2</v>
      </c>
      <c r="G27" s="18">
        <f t="shared" si="10"/>
        <v>7.1675918583135101E-2</v>
      </c>
      <c r="H27" s="18">
        <f t="shared" si="10"/>
        <v>1.6603194452339019E-2</v>
      </c>
      <c r="I27" s="18">
        <f t="shared" si="10"/>
        <v>2.0298925164555421E-3</v>
      </c>
      <c r="J27" s="18">
        <f t="shared" si="10"/>
        <v>3.659651632668854E-2</v>
      </c>
      <c r="K27" s="18">
        <f t="shared" si="10"/>
        <v>9.2410590293687742E-2</v>
      </c>
      <c r="L27" s="18">
        <f t="shared" si="10"/>
        <v>0.23117197360590661</v>
      </c>
      <c r="M27" s="18">
        <f t="shared" si="10"/>
        <v>7.9583242128010268E-2</v>
      </c>
    </row>
    <row r="29" spans="2:13" x14ac:dyDescent="0.35">
      <c r="B29" t="s">
        <v>74</v>
      </c>
      <c r="C29" s="14">
        <f>IFERROR('Data Sheet'!B29,0)</f>
        <v>2087.5</v>
      </c>
      <c r="D29" s="14">
        <f>IFERROR('Data Sheet'!C29,0)</f>
        <v>2616.1999999999998</v>
      </c>
      <c r="E29" s="14">
        <f>IFERROR('Data Sheet'!D29,0)</f>
        <v>3286.2</v>
      </c>
      <c r="F29" s="14">
        <f>IFERROR('Data Sheet'!E29,0)</f>
        <v>2973.2</v>
      </c>
      <c r="G29" s="14">
        <f>IFERROR('Data Sheet'!F29,0)</f>
        <v>1425.2</v>
      </c>
      <c r="H29" s="14">
        <f>IFERROR('Data Sheet'!G29,0)</f>
        <v>931.9</v>
      </c>
      <c r="I29" s="14">
        <f>IFERROR('Data Sheet'!H29,0)</f>
        <v>817.7</v>
      </c>
      <c r="J29" s="14">
        <f>IFERROR('Data Sheet'!I29,0)</f>
        <v>2112.1</v>
      </c>
      <c r="K29" s="14">
        <f>IFERROR('Data Sheet'!J29,0)</f>
        <v>3936.3</v>
      </c>
      <c r="L29" s="14">
        <f>IFERROR('Data Sheet'!K29,0)</f>
        <v>5119.8</v>
      </c>
      <c r="M29" s="14">
        <f>IFERROR(SUM('Data Sheet'!H48:K48),0)</f>
        <v>4186.2</v>
      </c>
    </row>
    <row r="30" spans="2:13" x14ac:dyDescent="0.35">
      <c r="B30" s="16" t="s">
        <v>75</v>
      </c>
      <c r="C30" s="18">
        <f>IFERROR(C29/C26,0)</f>
        <v>0.37973877610419882</v>
      </c>
      <c r="D30" s="18">
        <f t="shared" ref="D30:M30" si="11">IFERROR(D29/D26,0)</f>
        <v>0.39551302402225347</v>
      </c>
      <c r="E30" s="18">
        <f t="shared" si="11"/>
        <v>0.47123436962257742</v>
      </c>
      <c r="F30" s="18">
        <f t="shared" si="11"/>
        <v>0.38562905317769108</v>
      </c>
      <c r="G30" s="18">
        <f t="shared" si="11"/>
        <v>0.26280656463212237</v>
      </c>
      <c r="H30" s="18">
        <f t="shared" si="11"/>
        <v>0.79758644299897197</v>
      </c>
      <c r="I30" s="18">
        <f t="shared" si="11"/>
        <v>4.5605131065250015</v>
      </c>
      <c r="J30" s="18">
        <f t="shared" si="11"/>
        <v>0.49087782090315424</v>
      </c>
      <c r="K30" s="18">
        <f t="shared" si="11"/>
        <v>0.30027003936166935</v>
      </c>
      <c r="L30" s="18">
        <f t="shared" si="11"/>
        <v>0.14483496090434864</v>
      </c>
      <c r="M30" s="18">
        <f t="shared" si="11"/>
        <v>0.30622590579577663</v>
      </c>
    </row>
    <row r="32" spans="2:13" x14ac:dyDescent="0.35">
      <c r="B32" s="19" t="s">
        <v>76</v>
      </c>
      <c r="C32" s="21">
        <f>IFERROR(C26-C29,0)</f>
        <v>3409.6999999999953</v>
      </c>
      <c r="D32" s="21">
        <f t="shared" ref="D32:L32" si="12">IFERROR(D26-D29,0)</f>
        <v>3998.5</v>
      </c>
      <c r="E32" s="21">
        <f t="shared" si="12"/>
        <v>3687.3999999999869</v>
      </c>
      <c r="F32" s="21">
        <f t="shared" si="12"/>
        <v>4736.8000000000038</v>
      </c>
      <c r="G32" s="21">
        <f t="shared" si="12"/>
        <v>3997.800000000002</v>
      </c>
      <c r="H32" s="21">
        <f t="shared" si="12"/>
        <v>236.50000000000148</v>
      </c>
      <c r="I32" s="21">
        <f t="shared" si="12"/>
        <v>-638.39999999998531</v>
      </c>
      <c r="J32" s="21">
        <f t="shared" si="12"/>
        <v>2190.5999999999963</v>
      </c>
      <c r="K32" s="21">
        <f t="shared" si="12"/>
        <v>9172.900000000016</v>
      </c>
      <c r="L32" s="21">
        <f t="shared" si="12"/>
        <v>30229.399999999998</v>
      </c>
      <c r="M32" s="21">
        <f>IFERROR(SUM('Data Sheet'!H49:K49),0)</f>
        <v>14931.6</v>
      </c>
    </row>
    <row r="33" spans="1:13" x14ac:dyDescent="0.35">
      <c r="B33" s="16" t="s">
        <v>77</v>
      </c>
      <c r="C33" s="18">
        <f>IFERROR(C32/C5,0)</f>
        <v>5.9207487541023375E-2</v>
      </c>
      <c r="D33" s="18">
        <f t="shared" ref="D33:M33" si="13">IFERROR(D32/D5,0)</f>
        <v>5.8728060512594549E-2</v>
      </c>
      <c r="E33" s="18">
        <f t="shared" si="13"/>
        <v>4.6202577641230071E-2</v>
      </c>
      <c r="F33" s="18">
        <f t="shared" si="13"/>
        <v>5.5035233563963629E-2</v>
      </c>
      <c r="G33" s="18">
        <f t="shared" si="13"/>
        <v>5.2839016653449672E-2</v>
      </c>
      <c r="H33" s="18">
        <f t="shared" si="13"/>
        <v>3.3607116466776769E-3</v>
      </c>
      <c r="I33" s="18">
        <f t="shared" si="13"/>
        <v>-7.2274589096769752E-3</v>
      </c>
      <c r="J33" s="18">
        <f t="shared" si="13"/>
        <v>1.8632098139596962E-2</v>
      </c>
      <c r="K33" s="18">
        <f t="shared" si="13"/>
        <v>6.4662458708767037E-2</v>
      </c>
      <c r="L33" s="18">
        <f t="shared" si="13"/>
        <v>0.19769018984651401</v>
      </c>
      <c r="M33" s="18">
        <f t="shared" si="13"/>
        <v>8.6926046843053897E-2</v>
      </c>
    </row>
    <row r="35" spans="1:13" x14ac:dyDescent="0.35">
      <c r="B35" t="s">
        <v>78</v>
      </c>
      <c r="C35">
        <f>IFERROR('Data Sheet'!B93,0)</f>
        <v>30.21</v>
      </c>
      <c r="D35">
        <f>IFERROR('Data Sheet'!C93,0)</f>
        <v>30.21</v>
      </c>
      <c r="E35">
        <f>IFERROR('Data Sheet'!D93,0)</f>
        <v>30.21</v>
      </c>
      <c r="F35">
        <f>IFERROR('Data Sheet'!E93,0)</f>
        <v>30.21</v>
      </c>
      <c r="G35">
        <f>IFERROR('Data Sheet'!F93,0)</f>
        <v>30.21</v>
      </c>
      <c r="H35">
        <f>IFERROR('Data Sheet'!G93,0)</f>
        <v>30.21</v>
      </c>
      <c r="I35">
        <f>IFERROR('Data Sheet'!H93,0)</f>
        <v>30.21</v>
      </c>
      <c r="J35">
        <f>IFERROR('Data Sheet'!I93,0)</f>
        <v>30.21</v>
      </c>
      <c r="K35">
        <f>IFERROR('Data Sheet'!J93,0)</f>
        <v>31.44</v>
      </c>
      <c r="L35">
        <f>IFERROR('Data Sheet'!K93,0)</f>
        <v>31.44</v>
      </c>
      <c r="M35">
        <v>31.44</v>
      </c>
    </row>
    <row r="37" spans="1:13" x14ac:dyDescent="0.35">
      <c r="B37" t="s">
        <v>30</v>
      </c>
      <c r="C37" s="14">
        <f>IFERROR(C32/C35,0)</f>
        <v>112.86660046342254</v>
      </c>
      <c r="D37" s="14">
        <f t="shared" ref="D37:L37" si="14">IFERROR(D32/D35,0)</f>
        <v>132.35683548493876</v>
      </c>
      <c r="E37" s="14">
        <f t="shared" si="14"/>
        <v>122.05892088712304</v>
      </c>
      <c r="F37" s="14">
        <f t="shared" si="14"/>
        <v>156.79576299238676</v>
      </c>
      <c r="G37" s="14">
        <f t="shared" si="14"/>
        <v>132.3336643495532</v>
      </c>
      <c r="H37" s="14">
        <f t="shared" si="14"/>
        <v>7.8285335981463575</v>
      </c>
      <c r="I37" s="14">
        <f t="shared" si="14"/>
        <v>-21.132075471697625</v>
      </c>
      <c r="J37" s="14">
        <f t="shared" si="14"/>
        <v>72.512413108242185</v>
      </c>
      <c r="K37" s="14">
        <f t="shared" si="14"/>
        <v>291.7589058524178</v>
      </c>
      <c r="L37" s="14">
        <f t="shared" si="14"/>
        <v>961.49491094147572</v>
      </c>
      <c r="M37" s="14">
        <f>IFERROR(M32/M35,0)</f>
        <v>474.92366412213738</v>
      </c>
    </row>
    <row r="38" spans="1:13" x14ac:dyDescent="0.35">
      <c r="B38" s="16" t="s">
        <v>79</v>
      </c>
      <c r="C38" s="17" t="s">
        <v>83</v>
      </c>
      <c r="D38" s="18">
        <f>IFERROR(D37/C37-1,0)</f>
        <v>0.17268381382526488</v>
      </c>
      <c r="E38" s="18">
        <f t="shared" ref="E38:M38" si="15">IFERROR(E37/D37-1,0)</f>
        <v>-7.7804176566215522E-2</v>
      </c>
      <c r="F38" s="18">
        <f t="shared" si="15"/>
        <v>0.28459076856322096</v>
      </c>
      <c r="G38" s="18">
        <f t="shared" si="15"/>
        <v>-0.15601249788887039</v>
      </c>
      <c r="H38" s="18">
        <f t="shared" si="15"/>
        <v>-0.94084246335484478</v>
      </c>
      <c r="I38" s="18">
        <f t="shared" si="15"/>
        <v>-3.6993657505284623</v>
      </c>
      <c r="J38" s="18">
        <f t="shared" si="15"/>
        <v>-4.4313909774436828</v>
      </c>
      <c r="K38" s="18">
        <f t="shared" si="15"/>
        <v>3.0235718733687378</v>
      </c>
      <c r="L38" s="18">
        <f t="shared" si="15"/>
        <v>2.2955117792628226</v>
      </c>
      <c r="M38" s="18">
        <f t="shared" si="15"/>
        <v>-0.50605701734073449</v>
      </c>
    </row>
    <row r="40" spans="1:13" x14ac:dyDescent="0.35">
      <c r="B40" t="s">
        <v>80</v>
      </c>
      <c r="C40" s="14">
        <f>IFERROR('Data Sheet'!B31/HISTORIACLFINANCIALS!C35,0)</f>
        <v>34.988414432307181</v>
      </c>
      <c r="D40" s="14">
        <f>IFERROR('Data Sheet'!C31/HISTORIACLFINANCIALS!D35,0)</f>
        <v>74.975173783515388</v>
      </c>
      <c r="E40" s="14">
        <f>IFERROR('Data Sheet'!D31/HISTORIACLFINANCIALS!E35,0)</f>
        <v>79.973518702416413</v>
      </c>
      <c r="F40" s="14">
        <f>IFERROR('Data Sheet'!E31/HISTORIACLFINANCIALS!F35,0)</f>
        <v>79.973518702416413</v>
      </c>
      <c r="G40" s="14">
        <f>IFERROR('Data Sheet'!F31/HISTORIACLFINANCIALS!G35,0)</f>
        <v>59.98013902681231</v>
      </c>
      <c r="H40" s="14">
        <f>IFERROR('Data Sheet'!G31/HISTORIACLFINANCIALS!H35,0)</f>
        <v>44.985104270109233</v>
      </c>
      <c r="I40" s="14">
        <f>IFERROR('Data Sheet'!H31/HISTORIACLFINANCIALS!I35,0)</f>
        <v>59.98013902681231</v>
      </c>
      <c r="J40" s="14">
        <f>IFERROR('Data Sheet'!I31/HISTORIACLFINANCIALS!J35,0)</f>
        <v>89.970208540218465</v>
      </c>
      <c r="K40" s="14">
        <f>IFERROR('Data Sheet'!J31/HISTORIACLFINANCIALS!K35,0)</f>
        <v>125</v>
      </c>
      <c r="L40" s="14">
        <f>IFERROR('Data Sheet'!K31/HISTORIACLFINANCIALS!L35,0)</f>
        <v>134.99999999999997</v>
      </c>
      <c r="M40" s="14">
        <f>IFERROR('Data Sheet'!L31/HISTORIACLFINANCIALS!M35,0)</f>
        <v>0</v>
      </c>
    </row>
    <row r="41" spans="1:13" x14ac:dyDescent="0.35">
      <c r="B41" s="16" t="s">
        <v>81</v>
      </c>
      <c r="C41" s="18">
        <f>IFERROR(C40/C37,0)</f>
        <v>0.30999794703346378</v>
      </c>
      <c r="D41" s="18">
        <f t="shared" ref="D41:M41" si="16">IFERROR(D40/D37,0)</f>
        <v>0.56646242340877828</v>
      </c>
      <c r="E41" s="18">
        <f t="shared" si="16"/>
        <v>0.65520420892770204</v>
      </c>
      <c r="F41" s="18">
        <f t="shared" si="16"/>
        <v>0.51004897821313921</v>
      </c>
      <c r="G41" s="18">
        <f t="shared" si="16"/>
        <v>0.45324928710790907</v>
      </c>
      <c r="H41" s="18">
        <f t="shared" si="16"/>
        <v>5.7463002114164548</v>
      </c>
      <c r="I41" s="18">
        <f t="shared" si="16"/>
        <v>-2.8383458646617195</v>
      </c>
      <c r="J41" s="18">
        <f t="shared" si="16"/>
        <v>1.2407559572719822</v>
      </c>
      <c r="K41" s="18">
        <f t="shared" si="16"/>
        <v>0.4284359362905944</v>
      </c>
      <c r="L41" s="18">
        <f t="shared" si="16"/>
        <v>0.14040635937200208</v>
      </c>
      <c r="M41" s="18">
        <f t="shared" si="16"/>
        <v>0</v>
      </c>
    </row>
    <row r="43" spans="1:13" x14ac:dyDescent="0.35">
      <c r="B43" t="s">
        <v>82</v>
      </c>
      <c r="C43" s="15" t="s">
        <v>84</v>
      </c>
      <c r="D43" s="15">
        <f t="shared" ref="D43:M43" si="17">IFERROR(1-D41,0)</f>
        <v>0.43353757659122172</v>
      </c>
      <c r="E43" s="15">
        <f t="shared" si="17"/>
        <v>0.34479579107229796</v>
      </c>
      <c r="F43" s="15">
        <f t="shared" si="17"/>
        <v>0.48995102178686079</v>
      </c>
      <c r="G43" s="15">
        <f t="shared" si="17"/>
        <v>0.54675071289209098</v>
      </c>
      <c r="H43" s="15">
        <f t="shared" si="17"/>
        <v>-4.7463002114164548</v>
      </c>
      <c r="I43" s="15">
        <f t="shared" si="17"/>
        <v>3.8383458646617195</v>
      </c>
      <c r="J43" s="15">
        <f t="shared" si="17"/>
        <v>-0.24075595727198218</v>
      </c>
      <c r="K43" s="15">
        <f t="shared" si="17"/>
        <v>0.5715640637094056</v>
      </c>
      <c r="L43" s="15">
        <f t="shared" si="17"/>
        <v>0.85959364062799792</v>
      </c>
      <c r="M43" s="15">
        <f t="shared" si="17"/>
        <v>1</v>
      </c>
    </row>
    <row r="45" spans="1:13" s="11" customFormat="1" x14ac:dyDescent="0.35">
      <c r="A45" s="11" t="s">
        <v>57</v>
      </c>
      <c r="B45" s="12" t="s">
        <v>86</v>
      </c>
    </row>
    <row r="46" spans="1:13" x14ac:dyDescent="0.35">
      <c r="B46" t="str">
        <f>IFERROR('Data Sheet'!A57,0)</f>
        <v>Equity Share Capital</v>
      </c>
      <c r="C46" s="14">
        <f>IFERROR('Data Sheet'!B57,0)</f>
        <v>151</v>
      </c>
      <c r="D46" s="14">
        <f>IFERROR('Data Sheet'!C57,0)</f>
        <v>151</v>
      </c>
      <c r="E46" s="14">
        <f>IFERROR('Data Sheet'!D57,0)</f>
        <v>151</v>
      </c>
      <c r="F46" s="14">
        <f>IFERROR('Data Sheet'!E57,0)</f>
        <v>151</v>
      </c>
      <c r="G46" s="14">
        <f>IFERROR('Data Sheet'!F57,0)</f>
        <v>151</v>
      </c>
      <c r="H46" s="14">
        <f>IFERROR('Data Sheet'!G57,0)</f>
        <v>151</v>
      </c>
      <c r="I46" s="14">
        <f>IFERROR('Data Sheet'!H57,0)</f>
        <v>151</v>
      </c>
      <c r="J46" s="14">
        <f>IFERROR('Data Sheet'!I57,0)</f>
        <v>151</v>
      </c>
      <c r="K46" s="14">
        <f>IFERROR('Data Sheet'!J57,0)</f>
        <v>157.19999999999999</v>
      </c>
      <c r="L46" s="14">
        <f>IFERROR('Data Sheet'!K57,0)</f>
        <v>157.19999999999999</v>
      </c>
    </row>
    <row r="47" spans="1:13" x14ac:dyDescent="0.35">
      <c r="B47" t="str">
        <f>IFERROR('Data Sheet'!A58,0)</f>
        <v>Reserves</v>
      </c>
      <c r="C47" s="14">
        <f>IFERROR('Data Sheet'!B58,0)</f>
        <v>30465</v>
      </c>
      <c r="D47" s="14">
        <f>IFERROR('Data Sheet'!C58,0)</f>
        <v>36924.1</v>
      </c>
      <c r="E47" s="14">
        <f>IFERROR('Data Sheet'!D58,0)</f>
        <v>42408.4</v>
      </c>
      <c r="F47" s="14">
        <f>IFERROR('Data Sheet'!E58,0)</f>
        <v>46941.1</v>
      </c>
      <c r="G47" s="14">
        <f>IFERROR('Data Sheet'!F58,0)</f>
        <v>49262</v>
      </c>
      <c r="H47" s="14">
        <f>IFERROR('Data Sheet'!G58,0)</f>
        <v>52349.599999999999</v>
      </c>
      <c r="I47" s="14">
        <f>IFERROR('Data Sheet'!H58,0)</f>
        <v>55182.5</v>
      </c>
      <c r="J47" s="14">
        <f>IFERROR('Data Sheet'!I58,0)</f>
        <v>61640.3</v>
      </c>
      <c r="K47" s="14">
        <f>IFERROR('Data Sheet'!J58,0)</f>
        <v>85478.8</v>
      </c>
      <c r="L47" s="14">
        <f>IFERROR('Data Sheet'!K58,0)</f>
        <v>96082.7</v>
      </c>
    </row>
    <row r="48" spans="1:13" x14ac:dyDescent="0.35">
      <c r="B48" t="str">
        <f>IFERROR('Data Sheet'!A59,0)</f>
        <v>Borrowings</v>
      </c>
      <c r="C48" s="14">
        <f>IFERROR('Data Sheet'!B59,0)</f>
        <v>230.9</v>
      </c>
      <c r="D48" s="14">
        <f>IFERROR('Data Sheet'!C59,0)</f>
        <v>483.6</v>
      </c>
      <c r="E48" s="14">
        <f>IFERROR('Data Sheet'!D59,0)</f>
        <v>120.8</v>
      </c>
      <c r="F48" s="14">
        <f>IFERROR('Data Sheet'!E59,0)</f>
        <v>159.6</v>
      </c>
      <c r="G48" s="14">
        <f>IFERROR('Data Sheet'!F59,0)</f>
        <v>184.1</v>
      </c>
      <c r="H48" s="14">
        <f>IFERROR('Data Sheet'!G59,0)</f>
        <v>540.9</v>
      </c>
      <c r="I48" s="14">
        <f>IFERROR('Data Sheet'!H59,0)</f>
        <v>425.5</v>
      </c>
      <c r="J48" s="14">
        <f>IFERROR('Data Sheet'!I59,0)</f>
        <v>1247.3</v>
      </c>
      <c r="K48" s="14">
        <f>IFERROR('Data Sheet'!J59,0)</f>
        <v>118.6</v>
      </c>
      <c r="L48" s="14">
        <f>IFERROR('Data Sheet'!K59,0)</f>
        <v>87</v>
      </c>
    </row>
    <row r="49" spans="2:13" x14ac:dyDescent="0.35">
      <c r="B49" t="str">
        <f>IFERROR('Data Sheet'!A60,0)</f>
        <v>Other Liabilities</v>
      </c>
      <c r="C49" s="14">
        <f>IFERROR('Data Sheet'!B60,0)</f>
        <v>11878.6</v>
      </c>
      <c r="D49" s="14">
        <f>IFERROR('Data Sheet'!C60,0)</f>
        <v>14401.8</v>
      </c>
      <c r="E49" s="14">
        <f>IFERROR('Data Sheet'!D60,0)</f>
        <v>17568.2</v>
      </c>
      <c r="F49" s="14">
        <f>IFERROR('Data Sheet'!E60,0)</f>
        <v>16717</v>
      </c>
      <c r="G49" s="14">
        <f>IFERROR('Data Sheet'!F60,0)</f>
        <v>14030.6</v>
      </c>
      <c r="H49" s="14">
        <f>IFERROR('Data Sheet'!G60,0)</f>
        <v>18334.599999999999</v>
      </c>
      <c r="I49" s="14">
        <f>IFERROR('Data Sheet'!H60,0)</f>
        <v>18896.5</v>
      </c>
      <c r="J49" s="14">
        <f>IFERROR('Data Sheet'!I60,0)</f>
        <v>21558.3</v>
      </c>
      <c r="K49" s="14">
        <f>IFERROR('Data Sheet'!J60,0)</f>
        <v>29549.5</v>
      </c>
      <c r="L49" s="14">
        <f>IFERROR('Data Sheet'!K60,0)</f>
        <v>35644.300000000003</v>
      </c>
    </row>
    <row r="50" spans="2:13" x14ac:dyDescent="0.35">
      <c r="B50" s="23" t="s">
        <v>87</v>
      </c>
      <c r="C50" s="24">
        <f>IFERROR(SUM(C46:C49),0)</f>
        <v>42725.5</v>
      </c>
      <c r="D50" s="24">
        <f t="shared" ref="D50:L50" si="18">IFERROR(SUM(D46:D49),0)</f>
        <v>51960.5</v>
      </c>
      <c r="E50" s="24">
        <f t="shared" si="18"/>
        <v>60248.400000000009</v>
      </c>
      <c r="F50" s="24">
        <f t="shared" si="18"/>
        <v>63968.7</v>
      </c>
      <c r="G50" s="24">
        <f t="shared" si="18"/>
        <v>63627.7</v>
      </c>
      <c r="H50" s="24">
        <f t="shared" si="18"/>
        <v>71376.100000000006</v>
      </c>
      <c r="I50" s="24">
        <f t="shared" si="18"/>
        <v>74655.5</v>
      </c>
      <c r="J50" s="24">
        <f t="shared" si="18"/>
        <v>84596.900000000009</v>
      </c>
      <c r="K50" s="24">
        <f t="shared" si="18"/>
        <v>115304.1</v>
      </c>
      <c r="L50" s="24">
        <f t="shared" si="18"/>
        <v>131971.20000000001</v>
      </c>
    </row>
    <row r="52" spans="2:13" x14ac:dyDescent="0.35">
      <c r="B52" t="s">
        <v>88</v>
      </c>
      <c r="C52" s="14">
        <f>IFERROR('Data Sheet'!B62,0)</f>
        <v>12529.6</v>
      </c>
      <c r="D52" s="14">
        <f>IFERROR('Data Sheet'!C62,0)</f>
        <v>13310.7</v>
      </c>
      <c r="E52" s="14">
        <f>IFERROR('Data Sheet'!D62,0)</f>
        <v>13388.8</v>
      </c>
      <c r="F52" s="14">
        <f>IFERROR('Data Sheet'!E62,0)</f>
        <v>15437.3</v>
      </c>
      <c r="G52" s="14">
        <f>IFERROR('Data Sheet'!F62,0)</f>
        <v>15744.4</v>
      </c>
      <c r="H52" s="14">
        <f>IFERROR('Data Sheet'!G62,0)</f>
        <v>14988.7</v>
      </c>
      <c r="I52" s="14">
        <f>IFERROR('Data Sheet'!H62,0)</f>
        <v>13747.2</v>
      </c>
      <c r="J52" s="14">
        <f>IFERROR('Data Sheet'!I62,0)</f>
        <v>17830.400000000001</v>
      </c>
      <c r="K52" s="14">
        <f>IFERROR('Data Sheet'!J62,0)</f>
        <v>27864.799999999999</v>
      </c>
      <c r="L52" s="14">
        <f>IFERROR('Data Sheet'!K62,0)</f>
        <v>32982.699999999997</v>
      </c>
      <c r="M52" s="14"/>
    </row>
    <row r="53" spans="2:13" x14ac:dyDescent="0.35">
      <c r="B53" t="str">
        <f>IFERROR('Data Sheet'!A63,0)</f>
        <v>Capital Work in Progress</v>
      </c>
      <c r="C53" s="14">
        <f>IFERROR('Data Sheet'!B63,0)</f>
        <v>1006.9</v>
      </c>
      <c r="D53" s="14">
        <f>IFERROR('Data Sheet'!C63,0)</f>
        <v>1252.3</v>
      </c>
      <c r="E53" s="14">
        <f>IFERROR('Data Sheet'!D63,0)</f>
        <v>2132.1</v>
      </c>
      <c r="F53" s="14">
        <f>IFERROR('Data Sheet'!E63,0)</f>
        <v>1606.9</v>
      </c>
      <c r="G53" s="14">
        <f>IFERROR('Data Sheet'!F63,0)</f>
        <v>1415.2</v>
      </c>
      <c r="H53" s="14">
        <f>IFERROR('Data Sheet'!G63,0)</f>
        <v>1496.8</v>
      </c>
      <c r="I53" s="14">
        <f>IFERROR('Data Sheet'!H63,0)</f>
        <v>2936.5</v>
      </c>
      <c r="J53" s="14">
        <f>IFERROR('Data Sheet'!I63,0)</f>
        <v>2904.1</v>
      </c>
      <c r="K53" s="14">
        <f>IFERROR('Data Sheet'!J63,0)</f>
        <v>7734.8</v>
      </c>
      <c r="L53" s="14">
        <f>IFERROR('Data Sheet'!K63,0)</f>
        <v>7929</v>
      </c>
    </row>
    <row r="54" spans="2:13" x14ac:dyDescent="0.35">
      <c r="B54" t="str">
        <f>IFERROR('Data Sheet'!A64,0)</f>
        <v>Investments</v>
      </c>
      <c r="C54" s="14">
        <f>IFERROR('Data Sheet'!B64,0)</f>
        <v>20675.8</v>
      </c>
      <c r="D54" s="14">
        <f>IFERROR('Data Sheet'!C64,0)</f>
        <v>29150.6</v>
      </c>
      <c r="E54" s="14">
        <f>IFERROR('Data Sheet'!D64,0)</f>
        <v>36123.1</v>
      </c>
      <c r="F54" s="14">
        <f>IFERROR('Data Sheet'!E64,0)</f>
        <v>37503.599999999999</v>
      </c>
      <c r="G54" s="14">
        <f>IFERROR('Data Sheet'!F64,0)</f>
        <v>37488</v>
      </c>
      <c r="H54" s="14">
        <f>IFERROR('Data Sheet'!G64,0)</f>
        <v>42944.800000000003</v>
      </c>
      <c r="I54" s="14">
        <f>IFERROR('Data Sheet'!H64,0)</f>
        <v>42034.7</v>
      </c>
      <c r="J54" s="14">
        <f>IFERROR('Data Sheet'!I64,0)</f>
        <v>49184.3</v>
      </c>
      <c r="K54" s="14">
        <f>IFERROR('Data Sheet'!J64,0)</f>
        <v>57296</v>
      </c>
      <c r="L54" s="14">
        <f>IFERROR('Data Sheet'!K64,0)</f>
        <v>66265.399999999994</v>
      </c>
    </row>
    <row r="55" spans="2:13" x14ac:dyDescent="0.35">
      <c r="B55" t="str">
        <f>IFERROR('Data Sheet'!A65,0)</f>
        <v>Other Assets</v>
      </c>
      <c r="C55" s="14">
        <f>IFERROR('Data Sheet'!B65-SUM('Data Sheet'!B67:B69),0)</f>
        <v>4006.5000000000009</v>
      </c>
      <c r="D55" s="14">
        <f>IFERROR('Data Sheet'!C65-SUM('Data Sheet'!C67:C69),0)</f>
        <v>3757.1000000000004</v>
      </c>
      <c r="E55" s="14">
        <f>IFERROR('Data Sheet'!D65-SUM('Data Sheet'!D67:D69),0)</f>
        <v>3904.7999999999993</v>
      </c>
      <c r="F55" s="14">
        <f>IFERROR('Data Sheet'!E65-SUM('Data Sheet'!E67:E69),0)</f>
        <v>3597.7</v>
      </c>
      <c r="G55" s="14">
        <f>IFERROR('Data Sheet'!F65-SUM('Data Sheet'!F67:F69),0)</f>
        <v>3759.5</v>
      </c>
      <c r="H55" s="14">
        <f>IFERROR('Data Sheet'!G65-SUM('Data Sheet'!G67:G69),0)</f>
        <v>4569.7999999999993</v>
      </c>
      <c r="I55" s="14">
        <f>IFERROR('Data Sheet'!H65-SUM('Data Sheet'!H67:H69),0)</f>
        <v>7328.1</v>
      </c>
      <c r="J55" s="14">
        <f>IFERROR('Data Sheet'!I65-SUM('Data Sheet'!I67:I69),0)</f>
        <v>7051.6</v>
      </c>
      <c r="K55" s="14">
        <f>IFERROR('Data Sheet'!J65-SUM('Data Sheet'!J67:J69),0)</f>
        <v>9666.1999999999989</v>
      </c>
      <c r="L55" s="14">
        <f>IFERROR('Data Sheet'!K65-SUM('Data Sheet'!K67:K69),0)</f>
        <v>10788.3</v>
      </c>
    </row>
    <row r="56" spans="2:13" x14ac:dyDescent="0.35">
      <c r="B56" s="23" t="s">
        <v>89</v>
      </c>
      <c r="C56" s="24">
        <f>IFERROR(SUM(C52:C55),0)</f>
        <v>38218.800000000003</v>
      </c>
      <c r="D56" s="24">
        <f t="shared" ref="D56:L56" si="19">IFERROR(SUM(D52:D55),0)</f>
        <v>47470.7</v>
      </c>
      <c r="E56" s="24">
        <f t="shared" si="19"/>
        <v>55548.800000000003</v>
      </c>
      <c r="F56" s="24">
        <f t="shared" si="19"/>
        <v>58145.5</v>
      </c>
      <c r="G56" s="24">
        <f t="shared" si="19"/>
        <v>58407.1</v>
      </c>
      <c r="H56" s="24">
        <f t="shared" si="19"/>
        <v>64000.100000000006</v>
      </c>
      <c r="I56" s="24">
        <f t="shared" si="19"/>
        <v>66046.5</v>
      </c>
      <c r="J56" s="24">
        <f t="shared" si="19"/>
        <v>76970.400000000009</v>
      </c>
      <c r="K56" s="24">
        <f t="shared" si="19"/>
        <v>102561.8</v>
      </c>
      <c r="L56" s="24">
        <f t="shared" si="19"/>
        <v>117965.4</v>
      </c>
    </row>
    <row r="58" spans="2:13" x14ac:dyDescent="0.35">
      <c r="B58" t="str">
        <f>IFERROR('Data Sheet'!A67,0)</f>
        <v>Receivables</v>
      </c>
      <c r="C58" s="14">
        <f>IFERROR('Data Sheet'!B67,0)</f>
        <v>1323.4</v>
      </c>
      <c r="D58" s="14">
        <f>IFERROR('Data Sheet'!C67,0)</f>
        <v>1202.5999999999999</v>
      </c>
      <c r="E58" s="14">
        <f>IFERROR('Data Sheet'!D67,0)</f>
        <v>1465.4</v>
      </c>
      <c r="F58" s="14">
        <f>IFERROR('Data Sheet'!E67,0)</f>
        <v>2312.8000000000002</v>
      </c>
      <c r="G58" s="14">
        <f>IFERROR('Data Sheet'!F67,0)</f>
        <v>1977.7</v>
      </c>
      <c r="H58" s="14">
        <f>IFERROR('Data Sheet'!G67,0)</f>
        <v>1279.9000000000001</v>
      </c>
      <c r="I58" s="14">
        <f>IFERROR('Data Sheet'!H67,0)</f>
        <v>2034.5</v>
      </c>
      <c r="J58" s="14">
        <f>IFERROR('Data Sheet'!I67,0)</f>
        <v>3301.4</v>
      </c>
      <c r="K58" s="14">
        <f>IFERROR('Data Sheet'!J67,0)</f>
        <v>4596.8</v>
      </c>
      <c r="L58" s="14">
        <f>IFERROR('Data Sheet'!K67,0)</f>
        <v>6539.7</v>
      </c>
    </row>
    <row r="59" spans="2:13" x14ac:dyDescent="0.35">
      <c r="B59" t="str">
        <f>IFERROR('Data Sheet'!A68,0)</f>
        <v>Inventory</v>
      </c>
      <c r="C59" s="14">
        <f>IFERROR('Data Sheet'!B68,0)</f>
        <v>3132.6</v>
      </c>
      <c r="D59" s="14">
        <f>IFERROR('Data Sheet'!C68,0)</f>
        <v>3263.7</v>
      </c>
      <c r="E59" s="14">
        <f>IFERROR('Data Sheet'!D68,0)</f>
        <v>3160.2</v>
      </c>
      <c r="F59" s="14">
        <f>IFERROR('Data Sheet'!E68,0)</f>
        <v>3322.6</v>
      </c>
      <c r="G59" s="14">
        <f>IFERROR('Data Sheet'!F68,0)</f>
        <v>3213.9</v>
      </c>
      <c r="H59" s="14">
        <f>IFERROR('Data Sheet'!G68,0)</f>
        <v>3049</v>
      </c>
      <c r="I59" s="14">
        <f>IFERROR('Data Sheet'!H68,0)</f>
        <v>3532.3</v>
      </c>
      <c r="J59" s="14">
        <f>IFERROR('Data Sheet'!I68,0)</f>
        <v>4283.5</v>
      </c>
      <c r="K59" s="14">
        <f>IFERROR('Data Sheet'!J68,0)</f>
        <v>5318.1</v>
      </c>
      <c r="L59" s="14">
        <f>IFERROR('Data Sheet'!K68,0)</f>
        <v>6913.2</v>
      </c>
    </row>
    <row r="60" spans="2:13" x14ac:dyDescent="0.35">
      <c r="B60" t="str">
        <f>IFERROR('Data Sheet'!A69,0)</f>
        <v>Cash &amp; Bank</v>
      </c>
      <c r="C60" s="14">
        <f>IFERROR('Data Sheet'!B69,0)</f>
        <v>50.7</v>
      </c>
      <c r="D60" s="14">
        <f>IFERROR('Data Sheet'!C69,0)</f>
        <v>23.5</v>
      </c>
      <c r="E60" s="14">
        <f>IFERROR('Data Sheet'!D69,0)</f>
        <v>74</v>
      </c>
      <c r="F60" s="14">
        <f>IFERROR('Data Sheet'!E69,0)</f>
        <v>187.8</v>
      </c>
      <c r="G60" s="14">
        <f>IFERROR('Data Sheet'!F69,0)</f>
        <v>29</v>
      </c>
      <c r="H60" s="14">
        <f>IFERROR('Data Sheet'!G69,0)</f>
        <v>3047.1</v>
      </c>
      <c r="I60" s="14">
        <f>IFERROR('Data Sheet'!H69,0)</f>
        <v>3042.2</v>
      </c>
      <c r="J60" s="14">
        <f>IFERROR('Data Sheet'!I69,0)</f>
        <v>41.6</v>
      </c>
      <c r="K60" s="14">
        <f>IFERROR('Data Sheet'!J69,0)</f>
        <v>2827.4</v>
      </c>
      <c r="L60" s="14">
        <f>IFERROR('Data Sheet'!K69,0)</f>
        <v>552.9</v>
      </c>
    </row>
    <row r="61" spans="2:13" x14ac:dyDescent="0.35">
      <c r="B61" s="23" t="s">
        <v>90</v>
      </c>
      <c r="C61" s="24">
        <f>IFERROR(SUM(C58:C60),0)</f>
        <v>4506.7</v>
      </c>
      <c r="D61" s="24">
        <f t="shared" ref="D61:L61" si="20">IFERROR(SUM(D58:D60),0)</f>
        <v>4489.7999999999993</v>
      </c>
      <c r="E61" s="24">
        <f t="shared" si="20"/>
        <v>4699.6000000000004</v>
      </c>
      <c r="F61" s="24">
        <f t="shared" si="20"/>
        <v>5823.2</v>
      </c>
      <c r="G61" s="24">
        <f t="shared" si="20"/>
        <v>5220.6000000000004</v>
      </c>
      <c r="H61" s="24">
        <f t="shared" si="20"/>
        <v>7376</v>
      </c>
      <c r="I61" s="24">
        <f t="shared" si="20"/>
        <v>8609</v>
      </c>
      <c r="J61" s="24">
        <f t="shared" si="20"/>
        <v>7626.5</v>
      </c>
      <c r="K61" s="24">
        <f t="shared" si="20"/>
        <v>12742.300000000001</v>
      </c>
      <c r="L61" s="24">
        <f t="shared" si="20"/>
        <v>14005.8</v>
      </c>
    </row>
    <row r="63" spans="2:13" x14ac:dyDescent="0.35">
      <c r="B63" s="23" t="s">
        <v>91</v>
      </c>
      <c r="C63" s="24">
        <f>IFERROR(C56+C61,0)</f>
        <v>42725.5</v>
      </c>
      <c r="D63" s="24">
        <f t="shared" ref="D63:L63" si="21">IFERROR(D56+D61,0)</f>
        <v>51960.5</v>
      </c>
      <c r="E63" s="24">
        <f t="shared" si="21"/>
        <v>60248.4</v>
      </c>
      <c r="F63" s="24">
        <f t="shared" si="21"/>
        <v>63968.7</v>
      </c>
      <c r="G63" s="24">
        <f t="shared" si="21"/>
        <v>63627.7</v>
      </c>
      <c r="H63" s="24">
        <f t="shared" si="21"/>
        <v>71376.100000000006</v>
      </c>
      <c r="I63" s="24">
        <f t="shared" si="21"/>
        <v>74655.5</v>
      </c>
      <c r="J63" s="24">
        <f t="shared" si="21"/>
        <v>84596.900000000009</v>
      </c>
      <c r="K63" s="24">
        <f t="shared" si="21"/>
        <v>115304.1</v>
      </c>
      <c r="L63" s="24">
        <f t="shared" si="21"/>
        <v>131971.19999999998</v>
      </c>
    </row>
    <row r="65" spans="1:12" x14ac:dyDescent="0.35">
      <c r="B65" s="16" t="s">
        <v>92</v>
      </c>
      <c r="C65" s="16" t="b">
        <f>C50=C63</f>
        <v>1</v>
      </c>
      <c r="D65" s="16" t="b">
        <f t="shared" ref="D65:L65" si="22">D50=D63</f>
        <v>1</v>
      </c>
      <c r="E65" s="16" t="b">
        <f t="shared" si="22"/>
        <v>1</v>
      </c>
      <c r="F65" s="16" t="b">
        <f t="shared" si="22"/>
        <v>1</v>
      </c>
      <c r="G65" s="16" t="b">
        <f t="shared" si="22"/>
        <v>1</v>
      </c>
      <c r="H65" s="16" t="b">
        <f t="shared" si="22"/>
        <v>1</v>
      </c>
      <c r="I65" s="16" t="b">
        <f t="shared" si="22"/>
        <v>1</v>
      </c>
      <c r="J65" s="16" t="b">
        <f t="shared" si="22"/>
        <v>1</v>
      </c>
      <c r="K65" s="16" t="b">
        <f t="shared" si="22"/>
        <v>1</v>
      </c>
      <c r="L65" s="16" t="b">
        <f t="shared" si="22"/>
        <v>1</v>
      </c>
    </row>
    <row r="67" spans="1:12" s="11" customFormat="1" x14ac:dyDescent="0.35">
      <c r="A67" s="11" t="s">
        <v>57</v>
      </c>
      <c r="B67" s="12" t="s">
        <v>93</v>
      </c>
    </row>
    <row r="68" spans="1:12" x14ac:dyDescent="0.35">
      <c r="B68" s="2" t="s">
        <v>118</v>
      </c>
    </row>
    <row r="69" spans="1:12" x14ac:dyDescent="0.35">
      <c r="B69" t="s">
        <v>95</v>
      </c>
      <c r="C69" s="14">
        <f>IFERROR('Cash Flow'!E4,0)</f>
        <v>8935</v>
      </c>
      <c r="D69" s="14">
        <f>IFERROR('Cash Flow'!F4,0)</f>
        <v>10413</v>
      </c>
      <c r="E69" s="14">
        <f>IFERROR('Cash Flow'!G4,0)</f>
        <v>12036</v>
      </c>
      <c r="F69" s="14">
        <f>IFERROR('Cash Flow'!H4,0)</f>
        <v>11060</v>
      </c>
      <c r="G69" s="14">
        <f>IFERROR('Cash Flow'!I4,0)</f>
        <v>7503</v>
      </c>
      <c r="H69" s="14">
        <f>IFERROR('Cash Flow'!J4,0)</f>
        <v>5531</v>
      </c>
      <c r="I69" s="14">
        <f>IFERROR('Cash Flow'!K4,0)</f>
        <v>5832</v>
      </c>
      <c r="J69" s="14">
        <f>IFERROR('Cash Flow'!L4,0)</f>
        <v>11112</v>
      </c>
      <c r="K69" s="14">
        <f>IFERROR('Cash Flow'!M4,0)</f>
        <v>18676</v>
      </c>
      <c r="L69" s="14">
        <f>IFERROR('Cash Flow'!N4,0)</f>
        <v>20322</v>
      </c>
    </row>
    <row r="70" spans="1:12" x14ac:dyDescent="0.35">
      <c r="B70" t="s">
        <v>43</v>
      </c>
      <c r="C70" s="14">
        <f>IFERROR('Cash Flow'!E5,0)</f>
        <v>-204</v>
      </c>
      <c r="D70" s="14">
        <f>IFERROR('Cash Flow'!F5,0)</f>
        <v>122</v>
      </c>
      <c r="E70" s="14">
        <f>IFERROR('Cash Flow'!G5,0)</f>
        <v>-262</v>
      </c>
      <c r="F70" s="14">
        <f>IFERROR('Cash Flow'!H5,0)</f>
        <v>-851</v>
      </c>
      <c r="G70" s="14">
        <f>IFERROR('Cash Flow'!I5,0)</f>
        <v>340</v>
      </c>
      <c r="H70" s="14">
        <f>IFERROR('Cash Flow'!J5,0)</f>
        <v>696</v>
      </c>
      <c r="I70" s="14">
        <f>IFERROR('Cash Flow'!K5,0)</f>
        <v>-764</v>
      </c>
      <c r="J70" s="14">
        <f>IFERROR('Cash Flow'!L5,0)</f>
        <v>-1258</v>
      </c>
      <c r="K70" s="14">
        <f>IFERROR('Cash Flow'!M5,0)</f>
        <v>-1316</v>
      </c>
      <c r="L70" s="14">
        <f>IFERROR('Cash Flow'!N5,0)</f>
        <v>-1969</v>
      </c>
    </row>
    <row r="71" spans="1:12" x14ac:dyDescent="0.35">
      <c r="B71" t="s">
        <v>29</v>
      </c>
      <c r="C71" s="14">
        <f>IFERROR('Cash Flow'!E6,0)</f>
        <v>-450</v>
      </c>
      <c r="D71" s="14">
        <f>IFERROR('Cash Flow'!F6,0)</f>
        <v>-131</v>
      </c>
      <c r="E71" s="14">
        <f>IFERROR('Cash Flow'!G6,0)</f>
        <v>104</v>
      </c>
      <c r="F71" s="14">
        <f>IFERROR('Cash Flow'!H6,0)</f>
        <v>-162</v>
      </c>
      <c r="G71" s="14">
        <f>IFERROR('Cash Flow'!I6,0)</f>
        <v>109</v>
      </c>
      <c r="H71" s="14">
        <f>IFERROR('Cash Flow'!J6,0)</f>
        <v>165</v>
      </c>
      <c r="I71" s="14">
        <f>IFERROR('Cash Flow'!K6,0)</f>
        <v>-483</v>
      </c>
      <c r="J71" s="14">
        <f>IFERROR('Cash Flow'!L6,0)</f>
        <v>-751</v>
      </c>
      <c r="K71" s="14">
        <f>IFERROR('Cash Flow'!M6,0)</f>
        <v>125</v>
      </c>
      <c r="L71" s="14">
        <f>IFERROR('Cash Flow'!N6,0)</f>
        <v>-1595</v>
      </c>
    </row>
    <row r="72" spans="1:12" x14ac:dyDescent="0.35">
      <c r="B72" t="s">
        <v>96</v>
      </c>
      <c r="C72" s="14">
        <f>IFERROR('Cash Flow'!E7,0)</f>
        <v>1789</v>
      </c>
      <c r="D72" s="14">
        <f>IFERROR('Cash Flow'!F7,0)</f>
        <v>979</v>
      </c>
      <c r="E72" s="14">
        <f>IFERROR('Cash Flow'!G7,0)</f>
        <v>2128</v>
      </c>
      <c r="F72" s="14">
        <f>IFERROR('Cash Flow'!H7,0)</f>
        <v>-858</v>
      </c>
      <c r="G72" s="14">
        <f>IFERROR('Cash Flow'!I7,0)</f>
        <v>-2155</v>
      </c>
      <c r="H72" s="14">
        <f>IFERROR('Cash Flow'!J7,0)</f>
        <v>2680</v>
      </c>
      <c r="I72" s="14">
        <f>IFERROR('Cash Flow'!K7,0)</f>
        <v>-396</v>
      </c>
      <c r="J72" s="14">
        <f>IFERROR('Cash Flow'!L7,0)</f>
        <v>2008</v>
      </c>
      <c r="K72" s="14">
        <f>IFERROR('Cash Flow'!M7,0)</f>
        <v>3321</v>
      </c>
      <c r="L72" s="14">
        <f>IFERROR('Cash Flow'!N7,0)</f>
        <v>3509</v>
      </c>
    </row>
    <row r="73" spans="1:12" x14ac:dyDescent="0.35">
      <c r="B73" t="s">
        <v>97</v>
      </c>
      <c r="C73" s="14">
        <f>IFERROR('Cash Flow'!E8,0)</f>
        <v>-1</v>
      </c>
      <c r="D73" s="14">
        <f>IFERROR('Cash Flow'!F8,0)</f>
        <v>1</v>
      </c>
      <c r="E73" s="14">
        <f>IFERROR('Cash Flow'!G8,0)</f>
        <v>0</v>
      </c>
      <c r="F73" s="14">
        <f>IFERROR('Cash Flow'!H8,0)</f>
        <v>-13</v>
      </c>
      <c r="G73" s="14">
        <f>IFERROR('Cash Flow'!I8,0)</f>
        <v>-1</v>
      </c>
      <c r="H73" s="14">
        <f>IFERROR('Cash Flow'!J8,0)</f>
        <v>-6</v>
      </c>
      <c r="I73" s="14">
        <f>IFERROR('Cash Flow'!K8,0)</f>
        <v>-8</v>
      </c>
      <c r="J73" s="14">
        <f>IFERROR('Cash Flow'!L8,0)</f>
        <v>1</v>
      </c>
      <c r="K73" s="14">
        <f>IFERROR('Cash Flow'!M8,0)</f>
        <v>-3</v>
      </c>
      <c r="L73" s="14">
        <f>IFERROR('Cash Flow'!N8,0)</f>
        <v>-10</v>
      </c>
    </row>
    <row r="74" spans="1:12" x14ac:dyDescent="0.35">
      <c r="B74" t="s">
        <v>98</v>
      </c>
      <c r="C74" s="14">
        <f>IFERROR('Cash Flow'!E9,0)</f>
        <v>325</v>
      </c>
      <c r="D74" s="14">
        <f>IFERROR('Cash Flow'!F9,0)</f>
        <v>1222</v>
      </c>
      <c r="E74" s="14">
        <f>IFERROR('Cash Flow'!G9,0)</f>
        <v>839</v>
      </c>
      <c r="F74" s="14">
        <f>IFERROR('Cash Flow'!H9,0)</f>
        <v>569</v>
      </c>
      <c r="G74" s="14">
        <f>IFERROR('Cash Flow'!I9,0)</f>
        <v>-863</v>
      </c>
      <c r="H74" s="14">
        <f>IFERROR('Cash Flow'!J9,0)</f>
        <v>801</v>
      </c>
      <c r="I74" s="14">
        <f>IFERROR('Cash Flow'!K9,0)</f>
        <v>-1162</v>
      </c>
      <c r="J74" s="14">
        <f>IFERROR('Cash Flow'!L9,0)</f>
        <v>374</v>
      </c>
      <c r="K74" s="14">
        <f>IFERROR('Cash Flow'!M9,0)</f>
        <v>-406</v>
      </c>
      <c r="L74" s="14">
        <f>IFERROR('Cash Flow'!N9,0)</f>
        <v>-313</v>
      </c>
    </row>
    <row r="75" spans="1:12" x14ac:dyDescent="0.35">
      <c r="B75" t="s">
        <v>99</v>
      </c>
      <c r="C75" s="14">
        <f>IFERROR('Cash Flow'!E10,0)</f>
        <v>1460</v>
      </c>
      <c r="D75" s="14">
        <f>IFERROR('Cash Flow'!F10,0)</f>
        <v>2192</v>
      </c>
      <c r="E75" s="14">
        <f>IFERROR('Cash Flow'!G10,0)</f>
        <v>2808</v>
      </c>
      <c r="F75" s="14">
        <f>IFERROR('Cash Flow'!H10,0)</f>
        <v>-1315</v>
      </c>
      <c r="G75" s="14">
        <f>IFERROR('Cash Flow'!I10,0)</f>
        <v>-2570</v>
      </c>
      <c r="H75" s="14">
        <f>IFERROR('Cash Flow'!J10,0)</f>
        <v>4336</v>
      </c>
      <c r="I75" s="14">
        <f>IFERROR('Cash Flow'!K10,0)</f>
        <v>-2813</v>
      </c>
      <c r="J75" s="14">
        <f>IFERROR('Cash Flow'!L10,0)</f>
        <v>373</v>
      </c>
      <c r="K75" s="14">
        <f>IFERROR('Cash Flow'!M10,0)</f>
        <v>1722</v>
      </c>
      <c r="L75" s="14">
        <f>IFERROR('Cash Flow'!N10,0)</f>
        <v>-378</v>
      </c>
    </row>
    <row r="76" spans="1:12" x14ac:dyDescent="0.35">
      <c r="B76" t="s">
        <v>100</v>
      </c>
      <c r="C76" s="14">
        <f>IFERROR('Cash Flow'!E11,0)</f>
        <v>-1912</v>
      </c>
      <c r="D76" s="14">
        <f>IFERROR('Cash Flow'!F11,0)</f>
        <v>-2323</v>
      </c>
      <c r="E76" s="14">
        <f>IFERROR('Cash Flow'!G11,0)</f>
        <v>-3056</v>
      </c>
      <c r="F76" s="14">
        <f>IFERROR('Cash Flow'!H11,0)</f>
        <v>-3144</v>
      </c>
      <c r="G76" s="14">
        <f>IFERROR('Cash Flow'!I11,0)</f>
        <v>-1438</v>
      </c>
      <c r="H76" s="14">
        <f>IFERROR('Cash Flow'!J11,0)</f>
        <v>-1011</v>
      </c>
      <c r="I76" s="14">
        <f>IFERROR('Cash Flow'!K11,0)</f>
        <v>-1178</v>
      </c>
      <c r="J76" s="14">
        <f>IFERROR('Cash Flow'!L11,0)</f>
        <v>-2233</v>
      </c>
      <c r="K76" s="14">
        <f>IFERROR('Cash Flow'!M11,0)</f>
        <v>-3597</v>
      </c>
      <c r="L76" s="14">
        <f>IFERROR('Cash Flow'!N11,0)</f>
        <v>-3807</v>
      </c>
    </row>
    <row r="77" spans="1:12" x14ac:dyDescent="0.35">
      <c r="B77" s="2" t="s">
        <v>119</v>
      </c>
      <c r="C77" s="27">
        <f>IFERROR(SUM(C69:C76),0)</f>
        <v>9942</v>
      </c>
      <c r="D77" s="27">
        <f t="shared" ref="D77:L77" si="23">IFERROR(SUM(D69:D76),0)</f>
        <v>12475</v>
      </c>
      <c r="E77" s="27">
        <f t="shared" si="23"/>
        <v>14597</v>
      </c>
      <c r="F77" s="27">
        <f t="shared" si="23"/>
        <v>5286</v>
      </c>
      <c r="G77" s="27">
        <f t="shared" si="23"/>
        <v>925</v>
      </c>
      <c r="H77" s="27">
        <f t="shared" si="23"/>
        <v>13192</v>
      </c>
      <c r="I77" s="27">
        <f t="shared" si="23"/>
        <v>-972</v>
      </c>
      <c r="J77" s="27">
        <f t="shared" si="23"/>
        <v>9626</v>
      </c>
      <c r="K77" s="27">
        <f t="shared" si="23"/>
        <v>18522</v>
      </c>
      <c r="L77" s="27">
        <f t="shared" si="23"/>
        <v>15759</v>
      </c>
    </row>
    <row r="79" spans="1:12" x14ac:dyDescent="0.35">
      <c r="B79" s="2" t="s">
        <v>120</v>
      </c>
    </row>
    <row r="80" spans="1:12" x14ac:dyDescent="0.35">
      <c r="B80" t="s">
        <v>102</v>
      </c>
      <c r="C80" s="14">
        <f>IFERROR('Cash Flow'!E13,0)</f>
        <v>-2469</v>
      </c>
      <c r="D80" s="14">
        <f>IFERROR('Cash Flow'!F13,0)</f>
        <v>-3391</v>
      </c>
      <c r="E80" s="14">
        <f>IFERROR('Cash Flow'!G13,0)</f>
        <v>-3912</v>
      </c>
      <c r="F80" s="14">
        <f>IFERROR('Cash Flow'!H13,0)</f>
        <v>-4872</v>
      </c>
      <c r="G80" s="14">
        <f>IFERROR('Cash Flow'!I13,0)</f>
        <v>-3437</v>
      </c>
      <c r="H80" s="14">
        <f>IFERROR('Cash Flow'!J13,0)</f>
        <v>-2370</v>
      </c>
      <c r="I80" s="14">
        <f>IFERROR('Cash Flow'!K13,0)</f>
        <v>-3459</v>
      </c>
      <c r="J80" s="14">
        <f>IFERROR('Cash Flow'!L13,0)</f>
        <v>-6347</v>
      </c>
      <c r="K80" s="14">
        <f>IFERROR('Cash Flow'!M13,0)</f>
        <v>-9200</v>
      </c>
      <c r="L80" s="14">
        <f>IFERROR('Cash Flow'!N13,0)</f>
        <v>-10641</v>
      </c>
    </row>
    <row r="81" spans="2:12" x14ac:dyDescent="0.35">
      <c r="B81" t="s">
        <v>103</v>
      </c>
      <c r="C81" s="14">
        <f>IFERROR('Cash Flow'!E14,0)</f>
        <v>12</v>
      </c>
      <c r="D81" s="14">
        <f>IFERROR('Cash Flow'!F14,0)</f>
        <v>16</v>
      </c>
      <c r="E81" s="14">
        <f>IFERROR('Cash Flow'!G14,0)</f>
        <v>26</v>
      </c>
      <c r="F81" s="14">
        <f>IFERROR('Cash Flow'!H14,0)</f>
        <v>170</v>
      </c>
      <c r="G81" s="14">
        <f>IFERROR('Cash Flow'!I14,0)</f>
        <v>37</v>
      </c>
      <c r="H81" s="14">
        <f>IFERROR('Cash Flow'!J14,0)</f>
        <v>42</v>
      </c>
      <c r="I81" s="14">
        <f>IFERROR('Cash Flow'!K14,0)</f>
        <v>136</v>
      </c>
      <c r="J81" s="14">
        <f>IFERROR('Cash Flow'!L14,0)</f>
        <v>100</v>
      </c>
      <c r="K81" s="14">
        <f>IFERROR('Cash Flow'!M14,0)</f>
        <v>45</v>
      </c>
      <c r="L81" s="14">
        <f>IFERROR('Cash Flow'!N14,0)</f>
        <v>38</v>
      </c>
    </row>
    <row r="82" spans="2:12" x14ac:dyDescent="0.35">
      <c r="B82" t="s">
        <v>104</v>
      </c>
      <c r="C82" s="14">
        <f>IFERROR('Cash Flow'!E15,0)</f>
        <v>-12044</v>
      </c>
      <c r="D82" s="14">
        <f>IFERROR('Cash Flow'!F15,0)</f>
        <v>-17716</v>
      </c>
      <c r="E82" s="14">
        <f>IFERROR('Cash Flow'!G15,0)</f>
        <v>-47069</v>
      </c>
      <c r="F82" s="14">
        <f>IFERROR('Cash Flow'!H15,0)</f>
        <v>-52957</v>
      </c>
      <c r="G82" s="14">
        <f>IFERROR('Cash Flow'!I15,0)</f>
        <v>-44205</v>
      </c>
      <c r="H82" s="14">
        <f>IFERROR('Cash Flow'!J15,0)</f>
        <v>-44869</v>
      </c>
      <c r="I82" s="14">
        <f>IFERROR('Cash Flow'!K15,0)</f>
        <v>-60525</v>
      </c>
      <c r="J82" s="14">
        <f>IFERROR('Cash Flow'!L15,0)</f>
        <v>-66597</v>
      </c>
      <c r="K82" s="14">
        <f>IFERROR('Cash Flow'!M15,0)</f>
        <v>-65736</v>
      </c>
      <c r="L82" s="14">
        <f>IFERROR('Cash Flow'!N15,0)</f>
        <v>-73882</v>
      </c>
    </row>
    <row r="83" spans="2:12" x14ac:dyDescent="0.35">
      <c r="B83" t="s">
        <v>105</v>
      </c>
      <c r="C83" s="14">
        <f>IFERROR('Cash Flow'!E16,0)</f>
        <v>7378</v>
      </c>
      <c r="D83" s="14">
        <f>IFERROR('Cash Flow'!F16,0)</f>
        <v>11839</v>
      </c>
      <c r="E83" s="14">
        <f>IFERROR('Cash Flow'!G16,0)</f>
        <v>42564</v>
      </c>
      <c r="F83" s="14">
        <f>IFERROR('Cash Flow'!H16,0)</f>
        <v>53986</v>
      </c>
      <c r="G83" s="14">
        <f>IFERROR('Cash Flow'!I16,0)</f>
        <v>46969</v>
      </c>
      <c r="H83" s="14">
        <f>IFERROR('Cash Flow'!J16,0)</f>
        <v>42920</v>
      </c>
      <c r="I83" s="14">
        <f>IFERROR('Cash Flow'!K16,0)</f>
        <v>63579</v>
      </c>
      <c r="J83" s="14">
        <f>IFERROR('Cash Flow'!L16,0)</f>
        <v>61605</v>
      </c>
      <c r="K83" s="14">
        <f>IFERROR('Cash Flow'!M16,0)</f>
        <v>61933</v>
      </c>
      <c r="L83" s="14">
        <f>IFERROR('Cash Flow'!N16,0)</f>
        <v>69795</v>
      </c>
    </row>
    <row r="84" spans="2:12" x14ac:dyDescent="0.35">
      <c r="B84" t="s">
        <v>106</v>
      </c>
      <c r="C84" s="14">
        <f>IFERROR('Cash Flow'!E17,0)</f>
        <v>67</v>
      </c>
      <c r="D84" s="14">
        <f>IFERROR('Cash Flow'!F17,0)</f>
        <v>36</v>
      </c>
      <c r="E84" s="14">
        <f>IFERROR('Cash Flow'!G17,0)</f>
        <v>68</v>
      </c>
      <c r="F84" s="14">
        <f>IFERROR('Cash Flow'!H17,0)</f>
        <v>124</v>
      </c>
      <c r="G84" s="14">
        <f>IFERROR('Cash Flow'!I17,0)</f>
        <v>96</v>
      </c>
      <c r="H84" s="14">
        <f>IFERROR('Cash Flow'!J17,0)</f>
        <v>67</v>
      </c>
      <c r="I84" s="14">
        <f>IFERROR('Cash Flow'!K17,0)</f>
        <v>174</v>
      </c>
      <c r="J84" s="14">
        <f>IFERROR('Cash Flow'!L17,0)</f>
        <v>194</v>
      </c>
      <c r="K84" s="14">
        <f>IFERROR('Cash Flow'!M17,0)</f>
        <v>372</v>
      </c>
      <c r="L84" s="14">
        <f>IFERROR('Cash Flow'!N17,0)</f>
        <v>444</v>
      </c>
    </row>
    <row r="85" spans="2:12" x14ac:dyDescent="0.35">
      <c r="B85" t="s">
        <v>107</v>
      </c>
      <c r="C85" s="14">
        <f>IFERROR('Cash Flow'!E18,0)</f>
        <v>11</v>
      </c>
      <c r="D85" s="14">
        <f>IFERROR('Cash Flow'!F18,0)</f>
        <v>13</v>
      </c>
      <c r="E85" s="14">
        <f>IFERROR('Cash Flow'!G18,0)</f>
        <v>20</v>
      </c>
      <c r="F85" s="14">
        <f>IFERROR('Cash Flow'!H18,0)</f>
        <v>9</v>
      </c>
      <c r="G85" s="14">
        <f>IFERROR('Cash Flow'!I18,0)</f>
        <v>4</v>
      </c>
      <c r="H85" s="14">
        <f>IFERROR('Cash Flow'!J18,0)</f>
        <v>3</v>
      </c>
      <c r="I85" s="14">
        <f>IFERROR('Cash Flow'!K18,0)</f>
        <v>3</v>
      </c>
      <c r="J85" s="14">
        <f>IFERROR('Cash Flow'!L18,0)</f>
        <v>6</v>
      </c>
      <c r="K85" s="14">
        <f>IFERROR('Cash Flow'!M18,0)</f>
        <v>6</v>
      </c>
      <c r="L85" s="14">
        <f>IFERROR('Cash Flow'!N18,0)</f>
        <v>9</v>
      </c>
    </row>
    <row r="86" spans="2:12" x14ac:dyDescent="0.35">
      <c r="B86" t="s">
        <v>108</v>
      </c>
      <c r="C86" s="14">
        <f>IFERROR('Cash Flow'!E19,0)</f>
        <v>0</v>
      </c>
      <c r="D86" s="14">
        <f>IFERROR('Cash Flow'!F19,0)</f>
        <v>22</v>
      </c>
      <c r="E86" s="14">
        <f>IFERROR('Cash Flow'!G19,0)</f>
        <v>0</v>
      </c>
      <c r="F86" s="14">
        <f>IFERROR('Cash Flow'!H19,0)</f>
        <v>0</v>
      </c>
      <c r="G86" s="14">
        <f>IFERROR('Cash Flow'!I19,0)</f>
        <v>0</v>
      </c>
      <c r="H86" s="14">
        <f>IFERROR('Cash Flow'!J19,0)</f>
        <v>0</v>
      </c>
      <c r="I86" s="14">
        <f>IFERROR('Cash Flow'!K19,0)</f>
        <v>0</v>
      </c>
      <c r="J86" s="14">
        <f>IFERROR('Cash Flow'!L19,0)</f>
        <v>0</v>
      </c>
      <c r="K86" s="14">
        <f>IFERROR('Cash Flow'!M19,0)</f>
        <v>0</v>
      </c>
      <c r="L86" s="14">
        <f>IFERROR('Cash Flow'!N19,0)</f>
        <v>0</v>
      </c>
    </row>
    <row r="87" spans="2:12" x14ac:dyDescent="0.35">
      <c r="B87" t="s">
        <v>109</v>
      </c>
      <c r="C87" s="14">
        <f>IFERROR('Cash Flow'!E20,0)</f>
        <v>0</v>
      </c>
      <c r="D87" s="14">
        <f>IFERROR('Cash Flow'!F20,0)</f>
        <v>0</v>
      </c>
      <c r="E87" s="14">
        <f>IFERROR('Cash Flow'!G20,0)</f>
        <v>0</v>
      </c>
      <c r="F87" s="14">
        <f>IFERROR('Cash Flow'!H20,0)</f>
        <v>0</v>
      </c>
      <c r="G87" s="14">
        <f>IFERROR('Cash Flow'!I20,0)</f>
        <v>-15</v>
      </c>
      <c r="H87" s="14">
        <f>IFERROR('Cash Flow'!J20,0)</f>
        <v>-65</v>
      </c>
      <c r="I87" s="14">
        <f>IFERROR('Cash Flow'!K20,0)</f>
        <v>-146</v>
      </c>
      <c r="J87" s="14">
        <f>IFERROR('Cash Flow'!L20,0)</f>
        <v>0</v>
      </c>
      <c r="K87" s="14">
        <f>IFERROR('Cash Flow'!M20,0)</f>
        <v>-80</v>
      </c>
      <c r="L87" s="14">
        <f>IFERROR('Cash Flow'!N20,0)</f>
        <v>-18</v>
      </c>
    </row>
    <row r="88" spans="2:12" x14ac:dyDescent="0.35">
      <c r="B88" t="s">
        <v>110</v>
      </c>
      <c r="C88" s="14">
        <f>IFERROR('Cash Flow'!E21,0)</f>
        <v>-186</v>
      </c>
      <c r="D88" s="14">
        <f>IFERROR('Cash Flow'!F21,0)</f>
        <v>7</v>
      </c>
      <c r="E88" s="14">
        <f>IFERROR('Cash Flow'!G21,0)</f>
        <v>0</v>
      </c>
      <c r="F88" s="14">
        <f>IFERROR('Cash Flow'!H21,0)</f>
        <v>0</v>
      </c>
      <c r="G88" s="14">
        <f>IFERROR('Cash Flow'!I21,0)</f>
        <v>-5</v>
      </c>
      <c r="H88" s="14">
        <f>IFERROR('Cash Flow'!J21,0)</f>
        <v>-3019</v>
      </c>
      <c r="I88" s="14">
        <f>IFERROR('Cash Flow'!K21,0)</f>
        <v>-1</v>
      </c>
      <c r="J88" s="14">
        <f>IFERROR('Cash Flow'!L21,0)</f>
        <v>3003</v>
      </c>
      <c r="K88" s="14">
        <f>IFERROR('Cash Flow'!M21,0)</f>
        <v>795</v>
      </c>
      <c r="L88" s="14">
        <f>IFERROR('Cash Flow'!N21,0)</f>
        <v>-201</v>
      </c>
    </row>
    <row r="89" spans="2:12" x14ac:dyDescent="0.35">
      <c r="B89" s="2" t="s">
        <v>121</v>
      </c>
      <c r="C89" s="27">
        <f>IFERROR(SUM(C80:C88),0)</f>
        <v>-7231</v>
      </c>
      <c r="D89" s="27">
        <f t="shared" ref="D89:L89" si="24">IFERROR(SUM(D80:D88),0)</f>
        <v>-9174</v>
      </c>
      <c r="E89" s="27">
        <f t="shared" si="24"/>
        <v>-8303</v>
      </c>
      <c r="F89" s="27">
        <f t="shared" si="24"/>
        <v>-3540</v>
      </c>
      <c r="G89" s="27">
        <f t="shared" si="24"/>
        <v>-556</v>
      </c>
      <c r="H89" s="27">
        <f t="shared" si="24"/>
        <v>-7291</v>
      </c>
      <c r="I89" s="27">
        <f t="shared" si="24"/>
        <v>-239</v>
      </c>
      <c r="J89" s="27">
        <f t="shared" si="24"/>
        <v>-8036</v>
      </c>
      <c r="K89" s="27">
        <f t="shared" si="24"/>
        <v>-11865</v>
      </c>
      <c r="L89" s="27">
        <f t="shared" si="24"/>
        <v>-14456</v>
      </c>
    </row>
    <row r="91" spans="2:12" x14ac:dyDescent="0.35">
      <c r="B91" s="2" t="s">
        <v>122</v>
      </c>
    </row>
    <row r="92" spans="2:12" x14ac:dyDescent="0.35">
      <c r="B92" t="s">
        <v>112</v>
      </c>
      <c r="C92" s="14">
        <f>IFERROR('Cash Flow'!E25,0)</f>
        <v>-92</v>
      </c>
      <c r="D92" s="14">
        <f>IFERROR('Cash Flow'!F25,0)</f>
        <v>-110</v>
      </c>
      <c r="E92" s="14">
        <f>IFERROR('Cash Flow'!G25,0)</f>
        <v>-346</v>
      </c>
      <c r="F92" s="14">
        <f>IFERROR('Cash Flow'!H25,0)</f>
        <v>-73</v>
      </c>
      <c r="G92" s="14">
        <f>IFERROR('Cash Flow'!I25,0)</f>
        <v>-136</v>
      </c>
      <c r="H92" s="14">
        <f>IFERROR('Cash Flow'!J25,0)</f>
        <v>-102</v>
      </c>
      <c r="I92" s="14">
        <f>IFERROR('Cash Flow'!K25,0)</f>
        <v>-130</v>
      </c>
      <c r="J92" s="14">
        <f>IFERROR('Cash Flow'!L25,0)</f>
        <v>-186</v>
      </c>
      <c r="K92" s="14">
        <f>IFERROR('Cash Flow'!M25,0)</f>
        <v>-147</v>
      </c>
      <c r="L92" s="14">
        <f>IFERROR('Cash Flow'!N25,0)</f>
        <v>-167</v>
      </c>
    </row>
    <row r="93" spans="2:12" x14ac:dyDescent="0.35">
      <c r="B93" t="s">
        <v>113</v>
      </c>
      <c r="C93" s="14">
        <f>IFERROR('Cash Flow'!E26,0)</f>
        <v>-755</v>
      </c>
      <c r="D93" s="14">
        <f>IFERROR('Cash Flow'!F26,0)</f>
        <v>-1057</v>
      </c>
      <c r="E93" s="14">
        <f>IFERROR('Cash Flow'!G26,0)</f>
        <v>-2266</v>
      </c>
      <c r="F93" s="14">
        <f>IFERROR('Cash Flow'!H26,0)</f>
        <v>-2417</v>
      </c>
      <c r="G93" s="14">
        <f>IFERROR('Cash Flow'!I26,0)</f>
        <v>-2417</v>
      </c>
      <c r="H93" s="14">
        <f>IFERROR('Cash Flow'!J26,0)</f>
        <v>-1812</v>
      </c>
      <c r="I93" s="14">
        <f>IFERROR('Cash Flow'!K26,0)</f>
        <v>-1359</v>
      </c>
      <c r="J93" s="14">
        <f>IFERROR('Cash Flow'!L26,0)</f>
        <v>-1812</v>
      </c>
      <c r="K93" s="14">
        <f>IFERROR('Cash Flow'!M26,0)</f>
        <v>-2719</v>
      </c>
      <c r="L93" s="14">
        <f>IFERROR('Cash Flow'!N26,0)</f>
        <v>-3930</v>
      </c>
    </row>
    <row r="94" spans="2:12" x14ac:dyDescent="0.35">
      <c r="B94" t="s">
        <v>114</v>
      </c>
      <c r="C94" s="14">
        <f>IFERROR('Cash Flow'!E27,0)</f>
        <v>0</v>
      </c>
      <c r="D94" s="14">
        <f>IFERROR('Cash Flow'!F27,0)</f>
        <v>0</v>
      </c>
      <c r="E94" s="14">
        <f>IFERROR('Cash Flow'!G27,0)</f>
        <v>0</v>
      </c>
      <c r="F94" s="14">
        <f>IFERROR('Cash Flow'!H27,0)</f>
        <v>0</v>
      </c>
      <c r="G94" s="14">
        <f>IFERROR('Cash Flow'!I27,0)</f>
        <v>-10</v>
      </c>
      <c r="H94" s="14">
        <f>IFERROR('Cash Flow'!J27,0)</f>
        <v>-11</v>
      </c>
      <c r="I94" s="14">
        <f>IFERROR('Cash Flow'!K27,0)</f>
        <v>-8</v>
      </c>
      <c r="J94" s="14">
        <f>IFERROR('Cash Flow'!L27,0)</f>
        <v>-46</v>
      </c>
      <c r="K94" s="14">
        <f>IFERROR('Cash Flow'!M27,0)</f>
        <v>-13</v>
      </c>
      <c r="L94" s="14">
        <f>IFERROR('Cash Flow'!N27,0)</f>
        <v>-25</v>
      </c>
    </row>
    <row r="95" spans="2:12" x14ac:dyDescent="0.35">
      <c r="B95" t="s">
        <v>115</v>
      </c>
      <c r="C95" s="14">
        <f>IFERROR('Cash Flow'!E28,0)</f>
        <v>-154</v>
      </c>
      <c r="D95" s="14">
        <f>IFERROR('Cash Flow'!F28,0)</f>
        <v>-215</v>
      </c>
      <c r="E95" s="14">
        <f>IFERROR('Cash Flow'!G28,0)</f>
        <v>-461</v>
      </c>
      <c r="F95" s="14">
        <f>IFERROR('Cash Flow'!H28,0)</f>
        <v>-497</v>
      </c>
      <c r="G95" s="14">
        <f>IFERROR('Cash Flow'!I28,0)</f>
        <v>-497</v>
      </c>
      <c r="H95" s="14">
        <f>IFERROR('Cash Flow'!J28,0)</f>
        <v>0</v>
      </c>
      <c r="I95" s="14">
        <f>IFERROR('Cash Flow'!K28,0)</f>
        <v>0</v>
      </c>
      <c r="J95" s="14">
        <f>IFERROR('Cash Flow'!L28,0)</f>
        <v>0</v>
      </c>
      <c r="K95" s="14">
        <f>IFERROR('Cash Flow'!M28,0)</f>
        <v>0</v>
      </c>
      <c r="L95" s="14">
        <f>IFERROR('Cash Flow'!N28,0)</f>
        <v>0</v>
      </c>
    </row>
    <row r="96" spans="2:12" x14ac:dyDescent="0.35">
      <c r="B96" t="s">
        <v>116</v>
      </c>
      <c r="C96" s="14">
        <f>IFERROR('Cash Flow'!E29,0)</f>
        <v>16</v>
      </c>
      <c r="D96" s="14">
        <f>IFERROR('Cash Flow'!F29,0)</f>
        <v>-20</v>
      </c>
      <c r="E96" s="14">
        <f>IFERROR('Cash Flow'!G29,0)</f>
        <v>50</v>
      </c>
      <c r="F96" s="14">
        <f>IFERROR('Cash Flow'!H29,0)</f>
        <v>113</v>
      </c>
      <c r="G96" s="14">
        <f>IFERROR('Cash Flow'!I29,0)</f>
        <v>-165</v>
      </c>
      <c r="H96" s="14">
        <f>IFERROR('Cash Flow'!J29,0)</f>
        <v>20</v>
      </c>
      <c r="I96" s="14">
        <f>IFERROR('Cash Flow'!K29,0)</f>
        <v>-6</v>
      </c>
      <c r="J96" s="14">
        <f>IFERROR('Cash Flow'!L29,0)</f>
        <v>2</v>
      </c>
      <c r="K96" s="14">
        <f>IFERROR('Cash Flow'!M29,0)</f>
        <v>874</v>
      </c>
      <c r="L96" s="14">
        <f>IFERROR('Cash Flow'!N29,0)</f>
        <v>-2475</v>
      </c>
    </row>
    <row r="97" spans="2:12" x14ac:dyDescent="0.35">
      <c r="B97" t="s">
        <v>117</v>
      </c>
      <c r="C97" s="14">
        <f>IFERROR('Cash Flow'!E30,0)</f>
        <v>0</v>
      </c>
      <c r="D97" s="14">
        <f>IFERROR('Cash Flow'!F30,0)</f>
        <v>0</v>
      </c>
      <c r="E97" s="14">
        <f>IFERROR('Cash Flow'!G30,0)</f>
        <v>0</v>
      </c>
      <c r="F97" s="14">
        <f>IFERROR('Cash Flow'!H30,0)</f>
        <v>0</v>
      </c>
      <c r="G97" s="14">
        <f>IFERROR('Cash Flow'!I30,0)</f>
        <v>0</v>
      </c>
      <c r="H97" s="14">
        <f>IFERROR('Cash Flow'!J30,0)</f>
        <v>0</v>
      </c>
      <c r="I97" s="14">
        <f>IFERROR('Cash Flow'!K30,0)</f>
        <v>0</v>
      </c>
      <c r="J97" s="14">
        <f>IFERROR('Cash Flow'!L30,0)</f>
        <v>0</v>
      </c>
      <c r="K97" s="14">
        <f>IFERROR('Cash Flow'!M30,0)</f>
        <v>0</v>
      </c>
      <c r="L97" s="14">
        <f>IFERROR('Cash Flow'!N30,0)</f>
        <v>0</v>
      </c>
    </row>
    <row r="98" spans="2:12" x14ac:dyDescent="0.35">
      <c r="B98" s="2" t="s">
        <v>123</v>
      </c>
      <c r="C98" s="27">
        <f>IFERROR(SUM(C92:C97),0)</f>
        <v>-985</v>
      </c>
      <c r="D98" s="27">
        <f t="shared" ref="D98:L98" si="25">IFERROR(SUM(D92:D97),0)</f>
        <v>-1402</v>
      </c>
      <c r="E98" s="27">
        <f t="shared" si="25"/>
        <v>-3023</v>
      </c>
      <c r="F98" s="27">
        <f t="shared" si="25"/>
        <v>-2874</v>
      </c>
      <c r="G98" s="27">
        <f t="shared" si="25"/>
        <v>-3225</v>
      </c>
      <c r="H98" s="27">
        <f t="shared" si="25"/>
        <v>-1905</v>
      </c>
      <c r="I98" s="27">
        <f t="shared" si="25"/>
        <v>-1503</v>
      </c>
      <c r="J98" s="27">
        <f t="shared" si="25"/>
        <v>-2042</v>
      </c>
      <c r="K98" s="27">
        <f t="shared" si="25"/>
        <v>-2005</v>
      </c>
      <c r="L98" s="27">
        <f t="shared" si="25"/>
        <v>-6597</v>
      </c>
    </row>
    <row r="100" spans="2:12" x14ac:dyDescent="0.35">
      <c r="B100" s="2" t="s">
        <v>124</v>
      </c>
      <c r="C100" s="27">
        <f>IFERROR(C77+C89+C98,0)</f>
        <v>1726</v>
      </c>
      <c r="D100" s="27">
        <f t="shared" ref="D100:L100" si="26">IFERROR(D77+D89+D98,0)</f>
        <v>1899</v>
      </c>
      <c r="E100" s="27">
        <f t="shared" si="26"/>
        <v>3271</v>
      </c>
      <c r="F100" s="27">
        <f t="shared" si="26"/>
        <v>-1128</v>
      </c>
      <c r="G100" s="27">
        <f t="shared" si="26"/>
        <v>-2856</v>
      </c>
      <c r="H100" s="27">
        <f t="shared" si="26"/>
        <v>3996</v>
      </c>
      <c r="I100" s="27">
        <f t="shared" si="26"/>
        <v>-2714</v>
      </c>
      <c r="J100" s="27">
        <f t="shared" si="26"/>
        <v>-452</v>
      </c>
      <c r="K100" s="27">
        <f t="shared" si="26"/>
        <v>4652</v>
      </c>
      <c r="L100" s="27">
        <f t="shared" si="26"/>
        <v>-5294</v>
      </c>
    </row>
  </sheetData>
  <mergeCells count="1">
    <mergeCell ref="B2:M2"/>
  </mergeCells>
  <pageMargins left="0.7" right="0.7" top="0.75" bottom="0.75" header="0.3" footer="0.3"/>
  <ignoredErrors>
    <ignoredError sqref="C14:L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CC70-85E6-4CDC-AF8C-2AAE6F9DB68B}">
  <sheetPr>
    <tabColor theme="1"/>
  </sheetPr>
  <dimension ref="B2:O40"/>
  <sheetViews>
    <sheetView showGridLines="0" topLeftCell="A18" workbookViewId="0">
      <selection activeCell="P35" sqref="P35"/>
    </sheetView>
  </sheetViews>
  <sheetFormatPr defaultRowHeight="14.5" x14ac:dyDescent="0.35"/>
  <cols>
    <col min="1" max="1" width="1.81640625" customWidth="1"/>
    <col min="2" max="2" width="25.36328125" bestFit="1" customWidth="1"/>
    <col min="3" max="3" width="12.36328125" bestFit="1" customWidth="1"/>
    <col min="5" max="6" width="9.81640625" bestFit="1" customWidth="1"/>
    <col min="11" max="12" width="9.81640625" bestFit="1" customWidth="1"/>
    <col min="13" max="13" width="6.453125" bestFit="1" customWidth="1"/>
  </cols>
  <sheetData>
    <row r="2" spans="2:15" x14ac:dyDescent="0.35">
      <c r="B2" s="43" t="str">
        <f>"RATIO ANALYSIS - "&amp;'Data Sheet'!B1</f>
        <v>RATIO ANALYSIS - MARUTI SUZUKI INDIA LTD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2:15" x14ac:dyDescent="0.35"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155</v>
      </c>
      <c r="N3" s="10" t="s">
        <v>156</v>
      </c>
      <c r="O3" s="10" t="s">
        <v>157</v>
      </c>
    </row>
    <row r="5" spans="2:15" x14ac:dyDescent="0.35">
      <c r="B5" t="s">
        <v>125</v>
      </c>
      <c r="C5" s="28" t="s">
        <v>83</v>
      </c>
      <c r="D5" s="29">
        <f>IFERROR(HISTORIACLFINANCIALS!D6,0)</f>
        <v>0.18225702825192314</v>
      </c>
      <c r="E5" s="29">
        <f>IFERROR(HISTORIACLFINANCIALS!E6,0)</f>
        <v>0.17220239406624072</v>
      </c>
      <c r="F5" s="29">
        <f>IFERROR(HISTORIACLFINANCIALS!F6,0)</f>
        <v>7.8425598989592782E-2</v>
      </c>
      <c r="G5" s="29">
        <f>IFERROR(HISTORIACLFINANCIALS!G6,0)</f>
        <v>-0.12093274542951249</v>
      </c>
      <c r="H5" s="29">
        <f>IFERROR(HISTORIACLFINANCIALS!H6,0)</f>
        <v>-6.9891620407084298E-2</v>
      </c>
      <c r="I5" s="29">
        <f>IFERROR(HISTORIACLFINANCIALS!I6,0)</f>
        <v>0.25518387995225389</v>
      </c>
      <c r="J5" s="29">
        <f>IFERROR(HISTORIACLFINANCIALS!J6,0)</f>
        <v>0.3310490910202446</v>
      </c>
      <c r="K5" s="29">
        <f>IFERROR(HISTORIACLFINANCIALS!K6,0)</f>
        <v>0.20657167182807368</v>
      </c>
      <c r="L5" s="29">
        <f>IFERROR(HISTORIACLFINANCIALS!L6,0)</f>
        <v>7.7928522989858751E-2</v>
      </c>
      <c r="N5" s="15">
        <f>IFERROR(AVERAGE(D5:L5),0)</f>
        <v>0.12364375791795454</v>
      </c>
      <c r="O5" s="15">
        <f>IFERROR(MEDIAN(D5:L5),0)</f>
        <v>0.17220239406624072</v>
      </c>
    </row>
    <row r="6" spans="2:15" x14ac:dyDescent="0.35">
      <c r="B6" t="s">
        <v>126</v>
      </c>
      <c r="D6" s="29">
        <f>IFERROR(HISTORIACLFINANCIALS!D17/HISTORIACLFINANCIALS!C17-1,0)</f>
        <v>0.15718852995272314</v>
      </c>
      <c r="E6" s="29">
        <f>IFERROR(HISTORIACLFINANCIALS!E17/HISTORIACLFINANCIALS!D17-1,0)</f>
        <v>6.6126193396979671E-2</v>
      </c>
      <c r="F6" s="29">
        <f>IFERROR(HISTORIACLFINANCIALS!F17/HISTORIACLFINANCIALS!E17-1,0)</f>
        <v>0.12446970303370075</v>
      </c>
      <c r="G6" s="29">
        <f>IFERROR(HISTORIACLFINANCIALS!G17/HISTORIACLFINANCIALS!F17-1,0)</f>
        <v>-0.24748184794988615</v>
      </c>
      <c r="H6" s="29">
        <f>IFERROR(HISTORIACLFINANCIALS!H17/HISTORIACLFINANCIALS!G17-1,0)</f>
        <v>-0.53206181788083384</v>
      </c>
      <c r="I6" s="29">
        <f>IFERROR(HISTORIACLFINANCIALS!I17/HISTORIACLFINANCIALS!H17-1,0)</f>
        <v>-0.24066306160610162</v>
      </c>
      <c r="J6" s="29">
        <f>IFERROR(HISTORIACLFINANCIALS!J17/HISTORIACLFINANCIALS!I17-1,0)</f>
        <v>2.1808652246256073</v>
      </c>
      <c r="K6" s="29">
        <f>IFERROR(HISTORIACLFINANCIALS!K17/HISTORIACLFINANCIALS!J17-1,0)</f>
        <v>0.95819427734477403</v>
      </c>
      <c r="L6" s="29">
        <f>IFERROR(HISTORIACLFINANCIALS!L17/HISTORIACLFINANCIALS!K17-1,0)</f>
        <v>0.88857426779360194</v>
      </c>
      <c r="N6" s="15">
        <f t="shared" ref="N6:N9" si="0">IFERROR(AVERAGE(D6:L6),0)</f>
        <v>0.37280127430117393</v>
      </c>
      <c r="O6" s="15">
        <f t="shared" ref="O6:O9" si="1">IFERROR(MEDIAN(D6:L6),0)</f>
        <v>0.12446970303370075</v>
      </c>
    </row>
    <row r="7" spans="2:15" x14ac:dyDescent="0.35">
      <c r="B7" t="s">
        <v>127</v>
      </c>
      <c r="D7" s="15">
        <f>IFERROR(HISTORIACLFINANCIALS!D26/HISTORIACLFINANCIALS!C26-1,0)</f>
        <v>0.20328530888452412</v>
      </c>
      <c r="E7" s="15">
        <f>IFERROR(HISTORIACLFINANCIALS!E26/HISTORIACLFINANCIALS!D26-1,0)</f>
        <v>5.4257940647344016E-2</v>
      </c>
      <c r="F7" s="15">
        <f>IFERROR(HISTORIACLFINANCIALS!F26/HISTORIACLFINANCIALS!E26-1,0)</f>
        <v>0.10559825628083308</v>
      </c>
      <c r="G7" s="15">
        <f>IFERROR(HISTORIACLFINANCIALS!G26/HISTORIACLFINANCIALS!F26-1,0)</f>
        <v>-0.29662775616083015</v>
      </c>
      <c r="H7" s="15">
        <f>IFERROR(HISTORIACLFINANCIALS!H26/HISTORIACLFINANCIALS!G26-1,0)</f>
        <v>-0.78454729854324157</v>
      </c>
      <c r="I7" s="15">
        <f>IFERROR(HISTORIACLFINANCIALS!I26/HISTORIACLFINANCIALS!H26-1,0)</f>
        <v>-0.84654228004106935</v>
      </c>
      <c r="J7" s="15">
        <f>IFERROR(HISTORIACLFINANCIALS!J26/HISTORIACLFINANCIALS!I26-1,0)</f>
        <v>22.997211377577482</v>
      </c>
      <c r="K7" s="15">
        <f>IFERROR(HISTORIACLFINANCIALS!K26/HISTORIACLFINANCIALS!J26-1,0)</f>
        <v>2.0467380946847391</v>
      </c>
      <c r="L7" s="15">
        <f>IFERROR(HISTORIACLFINANCIALS!L26/HISTORIACLFINANCIALS!K26-1,0)</f>
        <v>1.6965184755744023</v>
      </c>
      <c r="N7" s="15">
        <f t="shared" si="0"/>
        <v>2.7973213465449089</v>
      </c>
      <c r="O7" s="15">
        <f t="shared" si="1"/>
        <v>0.10559825628083308</v>
      </c>
    </row>
    <row r="8" spans="2:15" x14ac:dyDescent="0.35">
      <c r="B8" t="s">
        <v>128</v>
      </c>
      <c r="D8" s="15">
        <f>IFERROR(HISTORIACLFINANCIALS!D32/HISTORIACLFINANCIALS!C32-1,0)</f>
        <v>0.17268381382526488</v>
      </c>
      <c r="E8" s="15">
        <f>IFERROR(HISTORIACLFINANCIALS!E32/HISTORIACLFINANCIALS!D32-1,0)</f>
        <v>-7.7804176566215633E-2</v>
      </c>
      <c r="F8" s="15">
        <f>IFERROR(HISTORIACLFINANCIALS!F32/HISTORIACLFINANCIALS!E32-1,0)</f>
        <v>0.28459076856322096</v>
      </c>
      <c r="G8" s="15">
        <f>IFERROR(HISTORIACLFINANCIALS!G32/HISTORIACLFINANCIALS!F32-1,0)</f>
        <v>-0.15601249788887039</v>
      </c>
      <c r="H8" s="15">
        <f>IFERROR(HISTORIACLFINANCIALS!H32/HISTORIACLFINANCIALS!G32-1,0)</f>
        <v>-0.94084246335484478</v>
      </c>
      <c r="I8" s="15">
        <f>IFERROR(HISTORIACLFINANCIALS!I32/HISTORIACLFINANCIALS!H32-1,0)</f>
        <v>-3.6993657505284623</v>
      </c>
      <c r="J8" s="15">
        <f>IFERROR(HISTORIACLFINANCIALS!J32/HISTORIACLFINANCIALS!I32-1,0)</f>
        <v>-4.4313909774436819</v>
      </c>
      <c r="K8" s="15">
        <f>IFERROR(HISTORIACLFINANCIALS!K32/HISTORIACLFINANCIALS!J32-1,0)</f>
        <v>3.187391582214933</v>
      </c>
      <c r="L8" s="15">
        <f>IFERROR(HISTORIACLFINANCIALS!L32/HISTORIACLFINANCIALS!K32-1,0)</f>
        <v>2.2955117792628226</v>
      </c>
      <c r="N8" s="15">
        <f t="shared" si="0"/>
        <v>-0.37391532465731486</v>
      </c>
      <c r="O8" s="15">
        <f t="shared" si="1"/>
        <v>-7.7804176566215633E-2</v>
      </c>
    </row>
    <row r="9" spans="2:15" x14ac:dyDescent="0.35">
      <c r="B9" t="s">
        <v>129</v>
      </c>
      <c r="D9" s="15">
        <f>IFERROR(HISTORIACLFINANCIALS!D40/HISTORIACLFINANCIALS!C40-1,0)</f>
        <v>1.1428571428571428</v>
      </c>
      <c r="E9" s="15">
        <f>IFERROR(HISTORIACLFINANCIALS!E40/HISTORIACLFINANCIALS!D40-1,0)</f>
        <v>6.6666666666666652E-2</v>
      </c>
      <c r="F9" s="15">
        <f>IFERROR(HISTORIACLFINANCIALS!F40/HISTORIACLFINANCIALS!E40-1,0)</f>
        <v>0</v>
      </c>
      <c r="G9" s="15">
        <f>IFERROR(HISTORIACLFINANCIALS!G40/HISTORIACLFINANCIALS!F40-1,0)</f>
        <v>-0.25</v>
      </c>
      <c r="H9" s="15">
        <f>IFERROR(HISTORIACLFINANCIALS!H40/HISTORIACLFINANCIALS!G40-1,0)</f>
        <v>-0.25</v>
      </c>
      <c r="I9" s="15">
        <f>IFERROR(HISTORIACLFINANCIALS!I40/HISTORIACLFINANCIALS!H40-1,0)</f>
        <v>0.33333333333333326</v>
      </c>
      <c r="J9" s="15">
        <f>IFERROR(HISTORIACLFINANCIALS!J40/HISTORIACLFINANCIALS!I40-1,0)</f>
        <v>0.5</v>
      </c>
      <c r="K9" s="15">
        <f>IFERROR(HISTORIACLFINANCIALS!K40/HISTORIACLFINANCIALS!J40-1,0)</f>
        <v>0.38934878587196486</v>
      </c>
      <c r="L9" s="15">
        <f>IFERROR(HISTORIACLFINANCIALS!L40/HISTORIACLFINANCIALS!K40-1,0)</f>
        <v>7.9999999999999849E-2</v>
      </c>
      <c r="N9" s="15">
        <f t="shared" si="0"/>
        <v>0.22357843652545639</v>
      </c>
      <c r="O9" s="15">
        <f t="shared" si="1"/>
        <v>7.9999999999999849E-2</v>
      </c>
    </row>
    <row r="10" spans="2:15" x14ac:dyDescent="0.35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2:15" x14ac:dyDescent="0.35">
      <c r="B11" t="s">
        <v>130</v>
      </c>
      <c r="C11" s="29">
        <f>HISTORIACLFINANCIALS!C12</f>
        <v>0.27367726475542198</v>
      </c>
      <c r="D11" s="29">
        <f>HISTORIACLFINANCIALS!D12</f>
        <v>0.26556510244547255</v>
      </c>
      <c r="E11" s="29">
        <f>HISTORIACLFINANCIALS!E12</f>
        <v>0.2609266577621181</v>
      </c>
      <c r="F11" s="29">
        <f>HISTORIACLFINANCIALS!F12</f>
        <v>0.25428931606801564</v>
      </c>
      <c r="G11" s="29">
        <f>HISTORIACLFINANCIALS!G12</f>
        <v>0.23794475284166008</v>
      </c>
      <c r="H11" s="29">
        <f>HISTORIACLFINANCIALS!H12</f>
        <v>0.21253339396350823</v>
      </c>
      <c r="I11" s="29">
        <f>HISTORIACLFINANCIALS!I12</f>
        <v>0.18964154792606813</v>
      </c>
      <c r="J11" s="29">
        <f>HISTORIACLFINANCIALS!J12</f>
        <v>0.21072489629697042</v>
      </c>
      <c r="K11" s="29">
        <f>HISTORIACLFINANCIALS!K12</f>
        <v>0.23856921912162998</v>
      </c>
      <c r="L11" s="29">
        <f>HISTORIACLFINANCIALS!L12</f>
        <v>0.23117197360590661</v>
      </c>
      <c r="N11" s="15">
        <f>IFERROR(AVERAGE(C11:L11),0)</f>
        <v>0.23750441247867721</v>
      </c>
      <c r="O11" s="15">
        <f>IFERROR(MEDIAN(C11:L11),0)</f>
        <v>0.23825698598164502</v>
      </c>
    </row>
    <row r="12" spans="2:15" x14ac:dyDescent="0.35">
      <c r="B12" t="s">
        <v>131</v>
      </c>
      <c r="C12" s="29">
        <f>HISTORIACLFINANCIALS!C18</f>
        <v>0.14067096146833588</v>
      </c>
      <c r="D12" s="29">
        <f>HISTORIACLFINANCIALS!D18</f>
        <v>0.13768818388778734</v>
      </c>
      <c r="E12" s="29">
        <f>HISTORIACLFINANCIALS!E18</f>
        <v>0.12522835655950287</v>
      </c>
      <c r="F12" s="29">
        <f>HISTORIACLFINANCIALS!F18</f>
        <v>0.13057506520968767</v>
      </c>
      <c r="G12" s="29">
        <f>HISTORIACLFINANCIALS!G18</f>
        <v>0.11177768966428762</v>
      </c>
      <c r="H12" s="29">
        <f>HISTORIACLFINANCIALS!H18</f>
        <v>5.6235434547831545E-2</v>
      </c>
      <c r="I12" s="29">
        <f>HISTORIACLFINANCIALS!I18</f>
        <v>3.4020228733677813E-2</v>
      </c>
      <c r="J12" s="29">
        <f>HISTORIACLFINANCIALS!J18</f>
        <v>8.1299602879274069E-2</v>
      </c>
      <c r="K12" s="29">
        <f>HISTORIACLFINANCIALS!K18</f>
        <v>0.13194443465375999</v>
      </c>
      <c r="L12" s="29">
        <f>HISTORIACLFINANCIALS!L18</f>
        <v>0.23117197360590661</v>
      </c>
      <c r="N12" s="15">
        <f t="shared" ref="N12:N40" si="2">IFERROR(AVERAGE(C12:L12),0)</f>
        <v>0.11806119312100513</v>
      </c>
      <c r="O12" s="15">
        <f t="shared" ref="O12:O40" si="3">IFERROR(MEDIAN(C12:L12),0)</f>
        <v>0.12790171088459529</v>
      </c>
    </row>
    <row r="13" spans="2:15" x14ac:dyDescent="0.35">
      <c r="B13" t="s">
        <v>132</v>
      </c>
      <c r="C13" s="15">
        <f>IFERROR(HISTORIACLFINANCIALS!C17-HISTORIACLFINANCIALS!C23,0)/HISTORIACLFINANCIALS!C5-1</f>
        <v>-0.90454427060723408</v>
      </c>
      <c r="D13" s="15">
        <f>IFERROR(HISTORIACLFINANCIALS!D17-HISTORIACLFINANCIALS!D23,0)/HISTORIACLFINANCIALS!D5-1</f>
        <v>-0.90284644194756558</v>
      </c>
      <c r="E13" s="15">
        <f>IFERROR(HISTORIACLFINANCIALS!E17-HISTORIACLFINANCIALS!E23,0)/HISTORIACLFINANCIALS!E5-1</f>
        <v>-0.91262182148969939</v>
      </c>
      <c r="F13" s="15">
        <f>IFERROR(HISTORIACLFINANCIALS!F17-HISTORIACLFINANCIALS!F23,0)/HISTORIACLFINANCIALS!F5-1</f>
        <v>-0.91042018857073137</v>
      </c>
      <c r="G13" s="15">
        <f>IFERROR(HISTORIACLFINANCIALS!G17-HISTORIACLFINANCIALS!G23,0)/HISTORIACLFINANCIALS!G5-1</f>
        <v>-0.92832408141686495</v>
      </c>
      <c r="H13" s="15">
        <f>IFERROR(HISTORIACLFINANCIALS!H17-HISTORIACLFINANCIALS!H23,0)/HISTORIACLFINANCIALS!H5-1</f>
        <v>-0.98339680554766096</v>
      </c>
      <c r="I13" s="15">
        <f>IFERROR(HISTORIACLFINANCIALS!I17-HISTORIACLFINANCIALS!I23,0)/HISTORIACLFINANCIALS!I5-1</f>
        <v>-0.99797010748354442</v>
      </c>
      <c r="J13" s="15">
        <f>IFERROR(HISTORIACLFINANCIALS!J17-HISTORIACLFINANCIALS!J23,0)/HISTORIACLFINANCIALS!J5-1</f>
        <v>-0.96340348367331141</v>
      </c>
      <c r="K13" s="15">
        <f>IFERROR(HISTORIACLFINANCIALS!K17-HISTORIACLFINANCIALS!K23,0)/HISTORIACLFINANCIALS!K5-1</f>
        <v>-0.9075894097063123</v>
      </c>
      <c r="L13" s="15">
        <f>IFERROR(HISTORIACLFINANCIALS!L17-HISTORIACLFINANCIALS!L23,0)/HISTORIACLFINANCIALS!L5-1</f>
        <v>-0.76882802639409342</v>
      </c>
      <c r="N13" s="15">
        <f t="shared" si="2"/>
        <v>-0.91799446368370174</v>
      </c>
      <c r="O13" s="15">
        <f t="shared" si="3"/>
        <v>-0.91152100503021538</v>
      </c>
    </row>
    <row r="14" spans="2:15" x14ac:dyDescent="0.35">
      <c r="B14" t="s">
        <v>133</v>
      </c>
      <c r="C14" s="29">
        <f>HISTORIACLFINANCIALS!C27</f>
        <v>9.5455729392765892E-2</v>
      </c>
      <c r="D14" s="29">
        <f>HISTORIACLFINANCIALS!D27</f>
        <v>9.7153558052434461E-2</v>
      </c>
      <c r="E14" s="29">
        <f>HISTORIACLFINANCIALS!E27</f>
        <v>8.7378178510300636E-2</v>
      </c>
      <c r="F14" s="29">
        <f>HISTORIACLFINANCIALS!F27</f>
        <v>8.9579811429268588E-2</v>
      </c>
      <c r="G14" s="29">
        <f>HISTORIACLFINANCIALS!G27</f>
        <v>7.1675918583135101E-2</v>
      </c>
      <c r="H14" s="29">
        <f>HISTORIACLFINANCIALS!H27</f>
        <v>1.6603194452339019E-2</v>
      </c>
      <c r="I14" s="29">
        <f>HISTORIACLFINANCIALS!I27</f>
        <v>2.0298925164555421E-3</v>
      </c>
      <c r="J14" s="29">
        <f>HISTORIACLFINANCIALS!J27</f>
        <v>3.659651632668854E-2</v>
      </c>
      <c r="K14" s="29">
        <f>HISTORIACLFINANCIALS!K27</f>
        <v>9.2410590293687742E-2</v>
      </c>
      <c r="L14" s="29">
        <f>HISTORIACLFINANCIALS!L27</f>
        <v>0.23117197360590661</v>
      </c>
      <c r="N14" s="15">
        <f t="shared" si="2"/>
        <v>8.20055363162982E-2</v>
      </c>
      <c r="O14" s="15">
        <f t="shared" si="3"/>
        <v>8.8478994969784619E-2</v>
      </c>
    </row>
    <row r="15" spans="2:15" x14ac:dyDescent="0.35">
      <c r="B15" t="s">
        <v>134</v>
      </c>
      <c r="C15" s="29">
        <f>HISTORIACLFINANCIALS!C33</f>
        <v>5.9207487541023375E-2</v>
      </c>
      <c r="D15" s="29">
        <f>HISTORIACLFINANCIALS!D33</f>
        <v>5.8728060512594549E-2</v>
      </c>
      <c r="E15" s="29">
        <f>HISTORIACLFINANCIALS!E33</f>
        <v>4.6202577641230071E-2</v>
      </c>
      <c r="F15" s="29">
        <f>HISTORIACLFINANCIALS!F33</f>
        <v>5.5035233563963629E-2</v>
      </c>
      <c r="G15" s="29">
        <f>HISTORIACLFINANCIALS!G33</f>
        <v>5.2839016653449672E-2</v>
      </c>
      <c r="H15" s="29">
        <f>HISTORIACLFINANCIALS!H33</f>
        <v>3.3607116466776769E-3</v>
      </c>
      <c r="I15" s="29">
        <f>HISTORIACLFINANCIALS!I33</f>
        <v>-7.2274589096769752E-3</v>
      </c>
      <c r="J15" s="29">
        <f>HISTORIACLFINANCIALS!J33</f>
        <v>1.8632098139596962E-2</v>
      </c>
      <c r="K15" s="29">
        <f>HISTORIACLFINANCIALS!K33</f>
        <v>6.4662458708767037E-2</v>
      </c>
      <c r="L15" s="29">
        <f>HISTORIACLFINANCIALS!L33</f>
        <v>0.19769018984651401</v>
      </c>
      <c r="N15" s="15">
        <f t="shared" si="2"/>
        <v>5.4913037534413997E-2</v>
      </c>
      <c r="O15" s="15">
        <f t="shared" si="3"/>
        <v>5.393712510870665E-2</v>
      </c>
    </row>
    <row r="16" spans="2:15" x14ac:dyDescent="0.35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2:15" x14ac:dyDescent="0.35">
      <c r="B17" t="s">
        <v>135</v>
      </c>
      <c r="C17" s="29">
        <f>HISTORIACLFINANCIALS!C15</f>
        <v>0.1330063032870861</v>
      </c>
      <c r="D17" s="29">
        <f>HISTORIACLFINANCIALS!D15</f>
        <v>0.12787691855768524</v>
      </c>
      <c r="E17" s="29">
        <f>HISTORIACLFINANCIALS!E15</f>
        <v>0.13569830120261525</v>
      </c>
      <c r="F17" s="29">
        <f>HISTORIACLFINANCIALS!F15</f>
        <v>0.12371425085832796</v>
      </c>
      <c r="G17" s="29">
        <f>HISTORIACLFINANCIALS!G15</f>
        <v>0.12616706317737245</v>
      </c>
      <c r="H17" s="29">
        <f>HISTORIACLFINANCIALS!H15</f>
        <v>0.1562979594156767</v>
      </c>
      <c r="I17" s="29">
        <f>HISTORIACLFINANCIALS!I15</f>
        <v>0.15562131919239033</v>
      </c>
      <c r="J17" s="29">
        <f>HISTORIACLFINANCIALS!J15</f>
        <v>0.12942529341769632</v>
      </c>
      <c r="K17" s="29">
        <f>HISTORIACLFINANCIALS!K15</f>
        <v>0.10662478446787001</v>
      </c>
      <c r="L17" s="29">
        <f>HISTORIACLFINANCIALS!L15</f>
        <v>0</v>
      </c>
      <c r="N17" s="15">
        <f t="shared" si="2"/>
        <v>0.11944321935767203</v>
      </c>
      <c r="O17" s="15">
        <f t="shared" si="3"/>
        <v>0.12865110598769078</v>
      </c>
    </row>
    <row r="18" spans="2:15" x14ac:dyDescent="0.35">
      <c r="B18" t="s">
        <v>136</v>
      </c>
      <c r="C18" s="29">
        <f>HISTORIACLFINANCIALS!C24</f>
        <v>4.5215232075569989E-2</v>
      </c>
      <c r="D18" s="29">
        <f>HISTORIACLFINANCIALS!D24</f>
        <v>4.0534625835352868E-2</v>
      </c>
      <c r="E18" s="29">
        <f>HISTORIACLFINANCIALS!E24</f>
        <v>3.7850178049202231E-2</v>
      </c>
      <c r="F18" s="29">
        <f>HISTORIACLFINANCIALS!F24</f>
        <v>4.0995253780419086E-2</v>
      </c>
      <c r="G18" s="29">
        <f>HISTORIACLFINANCIALS!G24</f>
        <v>4.0101771081152524E-2</v>
      </c>
      <c r="H18" s="29">
        <f>HISTORIACLFINANCIALS!H24</f>
        <v>3.9632240095492523E-2</v>
      </c>
      <c r="I18" s="29">
        <f>HISTORIACLFINANCIALS!I24</f>
        <v>3.1990336217222269E-2</v>
      </c>
      <c r="J18" s="29">
        <f>HISTORIACLFINANCIALS!J24</f>
        <v>4.4703086552585536E-2</v>
      </c>
      <c r="K18" s="29">
        <f>HISTORIACLFINANCIALS!K24</f>
        <v>3.9533844360072234E-2</v>
      </c>
      <c r="L18" s="29">
        <f>HISTORIACLFINANCIALS!L24</f>
        <v>0</v>
      </c>
      <c r="N18" s="15">
        <f t="shared" si="2"/>
        <v>3.6055656804706925E-2</v>
      </c>
      <c r="O18" s="15">
        <f t="shared" si="3"/>
        <v>3.9867005588322527E-2</v>
      </c>
    </row>
    <row r="19" spans="2:15" x14ac:dyDescent="0.35">
      <c r="B19" t="s">
        <v>137</v>
      </c>
      <c r="C19" s="29">
        <f>C13</f>
        <v>-0.90454427060723408</v>
      </c>
      <c r="D19" s="29">
        <f t="shared" ref="D19:L19" si="4">D13</f>
        <v>-0.90284644194756558</v>
      </c>
      <c r="E19" s="29">
        <f t="shared" si="4"/>
        <v>-0.91262182148969939</v>
      </c>
      <c r="F19" s="29">
        <f t="shared" si="4"/>
        <v>-0.91042018857073137</v>
      </c>
      <c r="G19" s="29">
        <f t="shared" si="4"/>
        <v>-0.92832408141686495</v>
      </c>
      <c r="H19" s="29">
        <f t="shared" si="4"/>
        <v>-0.98339680554766096</v>
      </c>
      <c r="I19" s="29">
        <f t="shared" si="4"/>
        <v>-0.99797010748354442</v>
      </c>
      <c r="J19" s="29">
        <f t="shared" si="4"/>
        <v>-0.96340348367331141</v>
      </c>
      <c r="K19" s="29">
        <f t="shared" si="4"/>
        <v>-0.9075894097063123</v>
      </c>
      <c r="L19" s="29">
        <f t="shared" si="4"/>
        <v>-0.76882802639409342</v>
      </c>
      <c r="N19" s="15">
        <f t="shared" si="2"/>
        <v>-0.91799446368370174</v>
      </c>
      <c r="O19" s="15">
        <f t="shared" si="3"/>
        <v>-0.91152100503021538</v>
      </c>
    </row>
    <row r="20" spans="2:15" x14ac:dyDescent="0.3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 x14ac:dyDescent="0.35">
      <c r="B21" t="s">
        <v>138</v>
      </c>
      <c r="C21" s="15">
        <f>IFERROR(HISTORIACLFINANCIALS!C17-HISTORIACLFINANCIALS!C23,0)/(SUM(HISTORIACLFINANCIALS!C46:C48))</f>
        <v>0.17820915553913019</v>
      </c>
      <c r="D21" s="15">
        <f>IFERROR(HISTORIACLFINANCIALS!D17-HISTORIACLFINANCIALS!D23,0)/(SUM(HISTORIACLFINANCIALS!D46:D48))</f>
        <v>0.1761163192549263</v>
      </c>
      <c r="E21" s="15">
        <f>IFERROR(HISTORIACLFINANCIALS!E17-HISTORIACLFINANCIALS!E23,0)/(SUM(HISTORIACLFINANCIALS!E46:E48))</f>
        <v>0.16339192412406656</v>
      </c>
      <c r="F21" s="15">
        <f>IFERROR(HISTORIACLFINANCIALS!F17-HISTORIACLFINANCIALS!F23,0)/(SUM(HISTORIACLFINANCIALS!F46:F48))</f>
        <v>0.16316873255353784</v>
      </c>
      <c r="G21" s="15">
        <f>IFERROR(HISTORIACLFINANCIALS!G17-HISTORIACLFINANCIALS!G23,0)/(SUM(HISTORIACLFINANCIALS!G46:G48))</f>
        <v>0.10934107034483875</v>
      </c>
      <c r="H21" s="15">
        <f>IFERROR(HISTORIACLFINANCIALS!H17-HISTORIACLFINANCIALS!H23,0)/(SUM(HISTORIACLFINANCIALS!H46:H48))</f>
        <v>2.2028034652112054E-2</v>
      </c>
      <c r="I21" s="15">
        <f>IFERROR(HISTORIACLFINANCIALS!I17-HISTORIACLFINANCIALS!I23,0)/(SUM(HISTORIACLFINANCIALS!I46:I48))</f>
        <v>3.2156243835078594E-3</v>
      </c>
      <c r="J21" s="15">
        <f>IFERROR(HISTORIACLFINANCIALS!J17-HISTORIACLFINANCIALS!J23,0)/(SUM(HISTORIACLFINANCIALS!J46:J48))</f>
        <v>6.8255005663196769E-2</v>
      </c>
      <c r="K21" s="15">
        <f>IFERROR(HISTORIACLFINANCIALS!K17-HISTORIACLFINANCIALS!K23,0)/(SUM(HISTORIACLFINANCIALS!K46:K48))</f>
        <v>0.15286876738973787</v>
      </c>
      <c r="L21" s="15">
        <f>IFERROR(HISTORIACLFINANCIALS!L17-HISTORIACLFINANCIALS!L23,0)/(SUM(HISTORIACLFINANCIALS!L46:L48))</f>
        <v>0.36697121987731357</v>
      </c>
      <c r="N21" s="15">
        <f t="shared" si="2"/>
        <v>0.14035658537823678</v>
      </c>
      <c r="O21" s="15">
        <f t="shared" si="3"/>
        <v>0.15801874997163784</v>
      </c>
    </row>
    <row r="22" spans="2:15" x14ac:dyDescent="0.35">
      <c r="B22" t="s">
        <v>139</v>
      </c>
      <c r="C22" s="29" t="str">
        <f>HISTORIACLFINANCIALS!C43</f>
        <v xml:space="preserve"> </v>
      </c>
      <c r="D22" s="29">
        <f>HISTORIACLFINANCIALS!D43</f>
        <v>0.43353757659122172</v>
      </c>
      <c r="E22" s="29">
        <f>HISTORIACLFINANCIALS!E43</f>
        <v>0.34479579107229796</v>
      </c>
      <c r="F22" s="29">
        <f>HISTORIACLFINANCIALS!F43</f>
        <v>0.48995102178686079</v>
      </c>
      <c r="G22" s="29">
        <f>HISTORIACLFINANCIALS!G43</f>
        <v>0.54675071289209098</v>
      </c>
      <c r="H22" s="29">
        <f>HISTORIACLFINANCIALS!H43</f>
        <v>-4.7463002114164548</v>
      </c>
      <c r="I22" s="29">
        <f>HISTORIACLFINANCIALS!I43</f>
        <v>3.8383458646617195</v>
      </c>
      <c r="J22" s="29">
        <f>HISTORIACLFINANCIALS!J43</f>
        <v>-0.24075595727198218</v>
      </c>
      <c r="K22" s="29">
        <f>HISTORIACLFINANCIALS!K43</f>
        <v>0.5715640637094056</v>
      </c>
      <c r="L22" s="29">
        <f>HISTORIACLFINANCIALS!L43</f>
        <v>0.85959364062799792</v>
      </c>
      <c r="N22" s="15">
        <f t="shared" si="2"/>
        <v>0.23305361140590641</v>
      </c>
      <c r="O22" s="15">
        <f t="shared" si="3"/>
        <v>0.48995102178686079</v>
      </c>
    </row>
    <row r="23" spans="2:15" x14ac:dyDescent="0.35">
      <c r="B23" t="s">
        <v>140</v>
      </c>
      <c r="C23" s="15">
        <f>IFERROR(HISTORIACLFINANCIALS!C32,0)/SUM(HISTORIACLFINANCIALS!C46:C47)</f>
        <v>0.11136987196237245</v>
      </c>
      <c r="D23" s="15">
        <f>IFERROR(HISTORIACLFINANCIALS!D32,0)/SUM(HISTORIACLFINANCIALS!D46:D47)</f>
        <v>0.10784866392808111</v>
      </c>
      <c r="E23" s="15">
        <f>IFERROR(HISTORIACLFINANCIALS!E32,0)/SUM(HISTORIACLFINANCIALS!E46:E47)</f>
        <v>8.6641259040305715E-2</v>
      </c>
      <c r="F23" s="15">
        <f>IFERROR(HISTORIACLFINANCIALS!F32,0)/SUM(HISTORIACLFINANCIALS!F46:F47)</f>
        <v>0.10058587321440335</v>
      </c>
      <c r="G23" s="15">
        <f>IFERROR(HISTORIACLFINANCIALS!G32,0)/SUM(HISTORIACLFINANCIALS!G46:G47)</f>
        <v>8.0905834496994761E-2</v>
      </c>
      <c r="H23" s="15">
        <f>IFERROR(HISTORIACLFINANCIALS!H32,0)/SUM(HISTORIACLFINANCIALS!H46:H47)</f>
        <v>4.5047104223571062E-3</v>
      </c>
      <c r="I23" s="15">
        <f>IFERROR(HISTORIACLFINANCIALS!I32,0)/SUM(HISTORIACLFINANCIALS!I46:I47)</f>
        <v>-1.1537314646642365E-2</v>
      </c>
      <c r="J23" s="15">
        <f>IFERROR(HISTORIACLFINANCIALS!J32,0)/SUM(HISTORIACLFINANCIALS!J46:J47)</f>
        <v>3.5451592699943135E-2</v>
      </c>
      <c r="K23" s="15">
        <f>IFERROR(HISTORIACLFINANCIALS!K32,0)/SUM(HISTORIACLFINANCIALS!K46:K47)</f>
        <v>0.10711499836517371</v>
      </c>
      <c r="L23" s="15">
        <f>IFERROR(HISTORIACLFINANCIALS!L32,0)/SUM(HISTORIACLFINANCIALS!L46:L47)</f>
        <v>0.31410464890341738</v>
      </c>
      <c r="N23" s="15">
        <f t="shared" si="2"/>
        <v>9.3699013838640627E-2</v>
      </c>
      <c r="O23" s="15">
        <f t="shared" si="3"/>
        <v>9.3613566127354525E-2</v>
      </c>
    </row>
    <row r="24" spans="2:15" x14ac:dyDescent="0.35">
      <c r="B24" t="s">
        <v>141</v>
      </c>
      <c r="C24" s="15">
        <f>IFERROR(C22*C23,0)</f>
        <v>0</v>
      </c>
      <c r="D24" s="15">
        <f t="shared" ref="D24:L24" si="5">IFERROR(D22*D23,0)</f>
        <v>4.6756448397981397E-2</v>
      </c>
      <c r="E24" s="15">
        <f t="shared" si="5"/>
        <v>2.9873541450302098E-2</v>
      </c>
      <c r="F24" s="15">
        <f t="shared" si="5"/>
        <v>4.928215135872055E-2</v>
      </c>
      <c r="G24" s="15">
        <f t="shared" si="5"/>
        <v>4.423532268836141E-2</v>
      </c>
      <c r="H24" s="15">
        <f t="shared" si="5"/>
        <v>-2.1380708030003439E-2</v>
      </c>
      <c r="I24" s="15">
        <f t="shared" si="5"/>
        <v>-4.4284203963240808E-2</v>
      </c>
      <c r="J24" s="15">
        <f t="shared" si="5"/>
        <v>-8.5351821372912241E-3</v>
      </c>
      <c r="K24" s="15">
        <f t="shared" si="5"/>
        <v>6.1223083749825026E-2</v>
      </c>
      <c r="L24" s="15">
        <f t="shared" si="5"/>
        <v>0.27000235868906763</v>
      </c>
      <c r="N24" s="15">
        <f t="shared" si="2"/>
        <v>4.2717281220372265E-2</v>
      </c>
      <c r="O24" s="15">
        <f t="shared" si="3"/>
        <v>3.7054432069331754E-2</v>
      </c>
    </row>
    <row r="25" spans="2:15" x14ac:dyDescent="0.35">
      <c r="B25" t="s">
        <v>142</v>
      </c>
      <c r="C25" s="15">
        <f>IFERROR(HISTORIACLFINANCIALS!C17-HISTORIACLFINANCIALS!C23,0)/HISTORIACLFINANCIALS!C20</f>
        <v>67.285189718482187</v>
      </c>
      <c r="D25" s="15">
        <f>IFERROR(HISTORIACLFINANCIALS!D17-HISTORIACLFINANCIALS!D23,0)/HISTORIACLFINANCIALS!D20</f>
        <v>73.989932885906029</v>
      </c>
      <c r="E25" s="15">
        <f>IFERROR(HISTORIACLFINANCIALS!E17-HISTORIACLFINANCIALS!E23,0)/HISTORIACLFINANCIALS!E20</f>
        <v>20.16657027183339</v>
      </c>
      <c r="F25" s="15">
        <f>IFERROR(HISTORIACLFINANCIALS!F17-HISTORIACLFINANCIALS!F23,0)/HISTORIACLFINANCIALS!F20</f>
        <v>101.58102766798423</v>
      </c>
      <c r="G25" s="15">
        <f>IFERROR(HISTORIACLFINANCIALS!G17-HISTORIACLFINANCIALS!G23,0)/HISTORIACLFINANCIALS!G20</f>
        <v>40.409836065573785</v>
      </c>
      <c r="H25" s="15">
        <f>IFERROR(HISTORIACLFINANCIALS!H17-HISTORIACLFINANCIALS!H23,0)/HISTORIACLFINANCIALS!H20</f>
        <v>11.477406679764258</v>
      </c>
      <c r="I25" s="15">
        <f>IFERROR(HISTORIACLFINANCIALS!I17-HISTORIACLFINANCIALS!I23,0)/HISTORIACLFINANCIALS!I20</f>
        <v>1.4162717219590422</v>
      </c>
      <c r="J25" s="15">
        <f>IFERROR(HISTORIACLFINANCIALS!J17-HISTORIACLFINANCIALS!J23,0)/HISTORIACLFINANCIALS!J20</f>
        <v>23.00909090909089</v>
      </c>
      <c r="K25" s="15">
        <f>IFERROR(HISTORIACLFINANCIALS!K17-HISTORIACLFINANCIALS!K23,0)/HISTORIACLFINANCIALS!K20</f>
        <v>67.712809917355457</v>
      </c>
      <c r="L25" s="15">
        <f>IFERROR(HISTORIACLFINANCIALS!L17-HISTORIACLFINANCIALS!L23,0)/HISTORIACLFINANCIALS!L20</f>
        <v>182.02471678681772</v>
      </c>
      <c r="N25" s="15">
        <f t="shared" si="2"/>
        <v>58.907285262476705</v>
      </c>
      <c r="O25" s="15">
        <f t="shared" si="3"/>
        <v>53.847512892027986</v>
      </c>
    </row>
    <row r="26" spans="2:15" x14ac:dyDescent="0.3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2:15" x14ac:dyDescent="0.35">
      <c r="B27" t="s">
        <v>143</v>
      </c>
      <c r="C27" s="30">
        <f>IFERROR(HISTORIACLFINANCIALS!C5/HISTORIACLFINANCIALS!C58,0)</f>
        <v>43.51594378116971</v>
      </c>
      <c r="D27" s="30">
        <f>IFERROR(HISTORIACLFINANCIALS!D5/HISTORIACLFINANCIALS!D58,0)</f>
        <v>56.614834525195413</v>
      </c>
      <c r="E27" s="30">
        <f>IFERROR(HISTORIACLFINANCIALS!E5/HISTORIACLFINANCIALS!E58,0)</f>
        <v>54.462535826395516</v>
      </c>
      <c r="F27" s="30">
        <f>IFERROR(HISTORIACLFINANCIALS!F5/HISTORIACLFINANCIALS!F58,0)</f>
        <v>37.213983050847453</v>
      </c>
      <c r="G27" s="30">
        <f>IFERROR(HISTORIACLFINANCIALS!G5/HISTORIACLFINANCIALS!G58,0)</f>
        <v>38.256560651261566</v>
      </c>
      <c r="H27" s="30">
        <f>IFERROR(HISTORIACLFINANCIALS!H5/HISTORIACLFINANCIALS!H58,0)</f>
        <v>54.98242050160168</v>
      </c>
      <c r="I27" s="30">
        <f>IFERROR(HISTORIACLFINANCIALS!I5/HISTORIACLFINANCIALS!I58,0)</f>
        <v>43.415974440894573</v>
      </c>
      <c r="J27" s="30">
        <f>IFERROR(HISTORIACLFINANCIALS!J5/HISTORIACLFINANCIALS!J58,0)</f>
        <v>35.612558308596356</v>
      </c>
      <c r="K27" s="30">
        <f>IFERROR(HISTORIACLFINANCIALS!K5/HISTORIACLFINANCIALS!K58,0)</f>
        <v>30.860207100591719</v>
      </c>
      <c r="L27" s="30">
        <f>IFERROR(HISTORIACLFINANCIALS!L5/HISTORIACLFINANCIALS!L58,0)</f>
        <v>23.382265241524841</v>
      </c>
      <c r="N27" s="15">
        <f t="shared" si="2"/>
        <v>41.831728342807885</v>
      </c>
      <c r="O27" s="15">
        <f t="shared" si="3"/>
        <v>40.836267546078069</v>
      </c>
    </row>
    <row r="28" spans="2:15" x14ac:dyDescent="0.35">
      <c r="B28" t="s">
        <v>144</v>
      </c>
      <c r="C28" s="30">
        <f>IFERROR(HISTORIACLFINANCIALS!C5/HISTORIACLFINANCIALS!C72,0)</f>
        <v>32.190609278926772</v>
      </c>
      <c r="D28" s="30">
        <f>IFERROR(HISTORIACLFINANCIALS!D5/HISTORIACLFINANCIALS!D72,0)</f>
        <v>69.545454545454547</v>
      </c>
      <c r="E28" s="30">
        <f>IFERROR(HISTORIACLFINANCIALS!E5/HISTORIACLFINANCIALS!E72,0)</f>
        <v>37.504417293233082</v>
      </c>
      <c r="F28" s="30">
        <f>IFERROR(HISTORIACLFINANCIALS!F5/HISTORIACLFINANCIALS!F72,0)</f>
        <v>-100.31293706293707</v>
      </c>
      <c r="G28" s="30">
        <f>IFERROR(HISTORIACLFINANCIALS!G5/HISTORIACLFINANCIALS!G72,0)</f>
        <v>-35.109048723897914</v>
      </c>
      <c r="H28" s="30">
        <f>IFERROR(HISTORIACLFINANCIALS!H5/HISTORIACLFINANCIALS!H72,0)</f>
        <v>26.258208955223882</v>
      </c>
      <c r="I28" s="30">
        <f>IFERROR(HISTORIACLFINANCIALS!I5/HISTORIACLFINANCIALS!I72,0)</f>
        <v>-223.0550505050505</v>
      </c>
      <c r="J28" s="30">
        <f>IFERROR(HISTORIACLFINANCIALS!J5/HISTORIACLFINANCIALS!J72,0)</f>
        <v>58.551444223107573</v>
      </c>
      <c r="K28" s="30">
        <f>IFERROR(HISTORIACLFINANCIALS!K5/HISTORIACLFINANCIALS!K72,0)</f>
        <v>42.715507377295999</v>
      </c>
      <c r="L28" s="30">
        <f>IFERROR(HISTORIACLFINANCIALS!L5/HISTORIACLFINANCIALS!L72,0)</f>
        <v>43.577372470789399</v>
      </c>
      <c r="N28" s="15">
        <f t="shared" si="2"/>
        <v>-4.8134022147854223</v>
      </c>
      <c r="O28" s="15">
        <f t="shared" si="3"/>
        <v>34.847513286079931</v>
      </c>
    </row>
    <row r="29" spans="2:15" x14ac:dyDescent="0.35">
      <c r="B29" t="s">
        <v>145</v>
      </c>
      <c r="C29" s="30">
        <f>IFERROR(HISTORIACLFINANCIALS!C8/HISTORIACLFINANCIALS!C59,0)</f>
        <v>13.352550596948223</v>
      </c>
      <c r="D29" s="30">
        <f>IFERROR(HISTORIACLFINANCIALS!D8/HISTORIACLFINANCIALS!D59,0)</f>
        <v>15.321261145325858</v>
      </c>
      <c r="E29" s="30">
        <f>IFERROR(HISTORIACLFINANCIALS!E8/HISTORIACLFINANCIALS!E59,0)</f>
        <v>18.664957914056075</v>
      </c>
      <c r="F29" s="30">
        <f>IFERROR(HISTORIACLFINANCIALS!F8/HISTORIACLFINANCIALS!F59,0)</f>
        <v>19.316860290134233</v>
      </c>
      <c r="G29" s="30">
        <f>IFERROR(HISTORIACLFINANCIALS!G8/HISTORIACLFINANCIALS!G59,0)</f>
        <v>17.939917234512585</v>
      </c>
      <c r="H29" s="30">
        <f>IFERROR(HISTORIACLFINANCIALS!H8/HISTORIACLFINANCIALS!H59,0)</f>
        <v>18.175008199409643</v>
      </c>
      <c r="I29" s="30">
        <f>IFERROR(HISTORIACLFINANCIALS!I8/HISTORIACLFINANCIALS!I59,0)</f>
        <v>20.264077230133335</v>
      </c>
      <c r="J29" s="30">
        <f>IFERROR(HISTORIACLFINANCIALS!J8/HISTORIACLFINANCIALS!J59,0)</f>
        <v>21.663616201704215</v>
      </c>
      <c r="K29" s="30">
        <f>IFERROR(HISTORIACLFINANCIALS!K8/HISTORIACLFINANCIALS!K59,0)</f>
        <v>20.310862902164306</v>
      </c>
      <c r="L29" s="30">
        <f>IFERROR(HISTORIACLFINANCIALS!L8/HISTORIACLFINANCIALS!L59,0)</f>
        <v>17.005699242029742</v>
      </c>
      <c r="N29" s="15">
        <f t="shared" si="2"/>
        <v>18.201481095641821</v>
      </c>
      <c r="O29" s="15">
        <f t="shared" si="3"/>
        <v>18.41998305673286</v>
      </c>
    </row>
    <row r="30" spans="2:15" x14ac:dyDescent="0.35">
      <c r="B30" t="s">
        <v>146</v>
      </c>
      <c r="C30" s="30">
        <f>IFERROR(HISTORIACLFINANCIALS!C5/HISTORIACLFINANCIALS!C52,0)</f>
        <v>4.5962361128846894</v>
      </c>
      <c r="D30" s="30">
        <f>IFERROR(HISTORIACLFINANCIALS!D5/HISTORIACLFINANCIALS!D52,0)</f>
        <v>5.1150578106335498</v>
      </c>
      <c r="E30" s="30">
        <f>IFERROR(HISTORIACLFINANCIALS!E5/HISTORIACLFINANCIALS!E52,0)</f>
        <v>5.9609076242829824</v>
      </c>
      <c r="F30" s="30">
        <f>IFERROR(HISTORIACLFINANCIALS!F5/HISTORIACLFINANCIALS!F52,0)</f>
        <v>5.5753596807731922</v>
      </c>
      <c r="G30" s="30">
        <f>IFERROR(HISTORIACLFINANCIALS!G5/HISTORIACLFINANCIALS!G52,0)</f>
        <v>4.8055181524859636</v>
      </c>
      <c r="H30" s="30">
        <f>IFERROR(HISTORIACLFINANCIALS!H5/HISTORIACLFINANCIALS!H52,0)</f>
        <v>4.6950035693555812</v>
      </c>
      <c r="I30" s="30">
        <f>IFERROR(HISTORIACLFINANCIALS!I5/HISTORIACLFINANCIALS!I52,0)</f>
        <v>6.4252938780260704</v>
      </c>
      <c r="J30" s="30">
        <f>IFERROR(HISTORIACLFINANCIALS!J5/HISTORIACLFINANCIALS!J52,0)</f>
        <v>6.5938677763819094</v>
      </c>
      <c r="K30" s="30">
        <f>IFERROR(HISTORIACLFINANCIALS!K5/HISTORIACLFINANCIALS!K52,0)</f>
        <v>5.0909462834831043</v>
      </c>
      <c r="L30" s="30">
        <f>IFERROR(HISTORIACLFINANCIALS!L5/HISTORIACLFINANCIALS!L52,0)</f>
        <v>4.6361577433017915</v>
      </c>
      <c r="N30" s="15">
        <f t="shared" si="2"/>
        <v>5.3494348631608846</v>
      </c>
      <c r="O30" s="15">
        <f t="shared" si="3"/>
        <v>5.1030020470583271</v>
      </c>
    </row>
    <row r="31" spans="2:15" x14ac:dyDescent="0.35">
      <c r="B31" t="s">
        <v>147</v>
      </c>
      <c r="C31" s="30">
        <f>IFERROR(HISTORIACLFINANCIALS!C5/SUM(HISTORIACLFINANCIALS!C46:C48),0)</f>
        <v>1.8669299021943857</v>
      </c>
      <c r="D31" s="30">
        <f>IFERROR(HISTORIACLFINANCIALS!D5/SUM(HISTORIACLFINANCIALS!D46:D48),0)</f>
        <v>1.8127624225545613</v>
      </c>
      <c r="E31" s="30">
        <f>IFERROR(HISTORIACLFINANCIALS!E5/SUM(HISTORIACLFINANCIALS!E46:E48),0)</f>
        <v>1.8699396910042592</v>
      </c>
      <c r="F31" s="30">
        <f>IFERROR(HISTORIACLFINANCIALS!F5/SUM(HISTORIACLFINANCIALS!F46:F48),0)</f>
        <v>1.8214900204648723</v>
      </c>
      <c r="G31" s="30">
        <f>IFERROR(HISTORIACLFINANCIALS!G5/SUM(HISTORIACLFINANCIALS!G46:G48),0)</f>
        <v>1.5254924179034661</v>
      </c>
      <c r="H31" s="30">
        <f>IFERROR(HISTORIACLFINANCIALS!H5/SUM(HISTORIACLFINANCIALS!H46:H48),0)</f>
        <v>1.326734726582016</v>
      </c>
      <c r="I31" s="30">
        <f>IFERROR(HISTORIACLFINANCIALS!I5/SUM(HISTORIACLFINANCIALS!I46:I48),0)</f>
        <v>1.5841352965440558</v>
      </c>
      <c r="J31" s="30">
        <f>IFERROR(HISTORIACLFINANCIALS!J5/SUM(HISTORIACLFINANCIALS!J46:J48),0)</f>
        <v>1.8650683866710236</v>
      </c>
      <c r="K31" s="30">
        <f>IFERROR(HISTORIACLFINANCIALS!K5/SUM(HISTORIACLFINANCIALS!K46:K48),0)</f>
        <v>1.6542342918047546</v>
      </c>
      <c r="L31" s="30">
        <f>IFERROR(HISTORIACLFINANCIALS!L5/SUM(HISTORIACLFINANCIALS!L46:L48),0)</f>
        <v>1.5874381922391358</v>
      </c>
      <c r="N31" s="15">
        <f t="shared" si="2"/>
        <v>1.6914225347962533</v>
      </c>
      <c r="O31" s="15">
        <f t="shared" si="3"/>
        <v>1.7334983571796578</v>
      </c>
    </row>
    <row r="32" spans="2:15" x14ac:dyDescent="0.35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2:15" x14ac:dyDescent="0.35">
      <c r="B33" t="s">
        <v>148</v>
      </c>
      <c r="C33" s="31">
        <f>IFERROR(365/C27,0)</f>
        <v>8.3877302957161959</v>
      </c>
      <c r="D33" s="31">
        <f t="shared" ref="D33:L33" si="6">IFERROR(365/D27,0)</f>
        <v>6.4470735110523609</v>
      </c>
      <c r="E33" s="31">
        <f t="shared" si="6"/>
        <v>6.7018546687482941</v>
      </c>
      <c r="F33" s="31">
        <f t="shared" si="6"/>
        <v>9.8081411898662125</v>
      </c>
      <c r="G33" s="31">
        <f t="shared" si="6"/>
        <v>9.5408472112080354</v>
      </c>
      <c r="H33" s="31">
        <f t="shared" si="6"/>
        <v>6.6384854771784241</v>
      </c>
      <c r="I33" s="31">
        <f t="shared" si="6"/>
        <v>8.4070438289229674</v>
      </c>
      <c r="J33" s="31">
        <f t="shared" si="6"/>
        <v>10.249193468133804</v>
      </c>
      <c r="K33" s="31">
        <f t="shared" si="6"/>
        <v>11.827529180547899</v>
      </c>
      <c r="L33" s="31">
        <f t="shared" si="6"/>
        <v>15.610121441604049</v>
      </c>
      <c r="N33" s="15">
        <f t="shared" si="2"/>
        <v>9.3618020272978235</v>
      </c>
      <c r="O33" s="15">
        <f t="shared" si="3"/>
        <v>8.9739455200655023</v>
      </c>
    </row>
    <row r="34" spans="2:15" x14ac:dyDescent="0.35">
      <c r="B34" t="s">
        <v>149</v>
      </c>
      <c r="C34" s="31">
        <f>IFERROR(365/C28,0)</f>
        <v>11.338710517633578</v>
      </c>
      <c r="D34" s="31">
        <f t="shared" ref="D34:L34" si="7">IFERROR(365/D28,0)</f>
        <v>5.2483660130718954</v>
      </c>
      <c r="E34" s="31">
        <f t="shared" si="7"/>
        <v>9.7321869353735266</v>
      </c>
      <c r="F34" s="31">
        <f t="shared" si="7"/>
        <v>-3.6386134300005226</v>
      </c>
      <c r="G34" s="31">
        <f t="shared" si="7"/>
        <v>-10.396180280200898</v>
      </c>
      <c r="H34" s="31">
        <f t="shared" si="7"/>
        <v>13.900414937759335</v>
      </c>
      <c r="I34" s="31">
        <f t="shared" si="7"/>
        <v>-1.6363673414861124</v>
      </c>
      <c r="J34" s="31">
        <f t="shared" si="7"/>
        <v>6.2338342775830489</v>
      </c>
      <c r="K34" s="31">
        <f t="shared" si="7"/>
        <v>8.5449061104680588</v>
      </c>
      <c r="L34" s="31">
        <f t="shared" si="7"/>
        <v>8.3759065612472448</v>
      </c>
      <c r="N34" s="15">
        <f t="shared" si="2"/>
        <v>4.7703164301449164</v>
      </c>
      <c r="O34" s="15">
        <f t="shared" si="3"/>
        <v>7.3048704194151473</v>
      </c>
    </row>
    <row r="35" spans="2:15" x14ac:dyDescent="0.35">
      <c r="B35" t="s">
        <v>150</v>
      </c>
      <c r="C35" s="31">
        <f>IFERROR(365/C29,0)</f>
        <v>27.335601340722285</v>
      </c>
      <c r="D35" s="31">
        <f t="shared" ref="D35:L35" si="8">IFERROR(365/D29,0)</f>
        <v>23.823104151667867</v>
      </c>
      <c r="E35" s="31">
        <f t="shared" si="8"/>
        <v>19.555361532593029</v>
      </c>
      <c r="F35" s="31">
        <f t="shared" si="8"/>
        <v>18.895410253933331</v>
      </c>
      <c r="G35" s="31">
        <f t="shared" si="8"/>
        <v>20.345690296598338</v>
      </c>
      <c r="H35" s="31">
        <f t="shared" si="8"/>
        <v>20.082521889143131</v>
      </c>
      <c r="I35" s="31">
        <f t="shared" si="8"/>
        <v>18.012169804467248</v>
      </c>
      <c r="J35" s="31">
        <f t="shared" si="8"/>
        <v>16.848525961759169</v>
      </c>
      <c r="K35" s="31">
        <f t="shared" si="8"/>
        <v>17.970679126641436</v>
      </c>
      <c r="L35" s="31">
        <f t="shared" si="8"/>
        <v>21.463392642973432</v>
      </c>
      <c r="N35" s="15">
        <f t="shared" si="2"/>
        <v>20.43324570004993</v>
      </c>
      <c r="O35" s="15">
        <f t="shared" si="3"/>
        <v>19.818941710868081</v>
      </c>
    </row>
    <row r="36" spans="2:15" x14ac:dyDescent="0.35">
      <c r="B36" t="s">
        <v>151</v>
      </c>
      <c r="C36" s="31">
        <f>IFERROR(SUM(C33,C35)-C34,0)</f>
        <v>24.384621118804901</v>
      </c>
      <c r="D36" s="31">
        <f t="shared" ref="D36:L36" si="9">IFERROR(SUM(D33,D35)-D34,0)</f>
        <v>25.021811649648335</v>
      </c>
      <c r="E36" s="31">
        <f t="shared" si="9"/>
        <v>16.525029265967795</v>
      </c>
      <c r="F36" s="31">
        <f t="shared" si="9"/>
        <v>32.342164873800066</v>
      </c>
      <c r="G36" s="31">
        <f t="shared" si="9"/>
        <v>40.282717788007275</v>
      </c>
      <c r="H36" s="31">
        <f t="shared" si="9"/>
        <v>12.82059242856222</v>
      </c>
      <c r="I36" s="31">
        <f t="shared" si="9"/>
        <v>28.055580974876328</v>
      </c>
      <c r="J36" s="31">
        <f t="shared" si="9"/>
        <v>20.863885152309923</v>
      </c>
      <c r="K36" s="31">
        <f t="shared" si="9"/>
        <v>21.253302196721275</v>
      </c>
      <c r="L36" s="31">
        <f t="shared" si="9"/>
        <v>28.697607523330237</v>
      </c>
      <c r="N36" s="15">
        <f t="shared" si="2"/>
        <v>25.024731297202841</v>
      </c>
      <c r="O36" s="15">
        <f t="shared" si="3"/>
        <v>24.703216384226618</v>
      </c>
    </row>
    <row r="37" spans="2:15" x14ac:dyDescent="0.35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2:15" x14ac:dyDescent="0.35">
      <c r="B38" t="s">
        <v>152</v>
      </c>
      <c r="C38" s="15">
        <f>IFERROR(HISTORIACLFINANCIALS!C77/HISTORIACLFINANCIALS!C5,0)</f>
        <v>0.17263713556408342</v>
      </c>
      <c r="D38" s="15">
        <f>IFERROR(HISTORIACLFINANCIALS!D77/HISTORIACLFINANCIALS!D5,0)</f>
        <v>0.18322684879195122</v>
      </c>
      <c r="E38" s="15">
        <f>IFERROR(HISTORIACLFINANCIALS!E77/HISTORIACLFINANCIALS!E5,0)</f>
        <v>0.1828982550927585</v>
      </c>
      <c r="F38" s="15">
        <f>IFERROR(HISTORIACLFINANCIALS!F77/HISTORIACLFINANCIALS!F5,0)</f>
        <v>6.1416197563568552E-2</v>
      </c>
      <c r="G38" s="15">
        <f>IFERROR(HISTORIACLFINANCIALS!G77/HISTORIACLFINANCIALS!G5,0)</f>
        <v>1.2225746761829236E-2</v>
      </c>
      <c r="H38" s="15">
        <f>IFERROR(HISTORIACLFINANCIALS!H77/HISTORIACLFINANCIALS!H5,0)</f>
        <v>0.18746092195759678</v>
      </c>
      <c r="I38" s="15">
        <f>IFERROR(HISTORIACLFINANCIALS!I77/HISTORIACLFINANCIALS!I5,0)</f>
        <v>-1.1004213753455798E-2</v>
      </c>
      <c r="J38" s="15">
        <f>IFERROR(HISTORIACLFINANCIALS!J77/HISTORIACLFINANCIALS!J5,0)</f>
        <v>8.1873722583657743E-2</v>
      </c>
      <c r="K38" s="15">
        <f>IFERROR(HISTORIACLFINANCIALS!K77/HISTORIACLFINANCIALS!K5,0)</f>
        <v>0.13056700282394673</v>
      </c>
      <c r="L38" s="15">
        <f>IFERROR(HISTORIACLFINANCIALS!L77/HISTORIACLFINANCIALS!L5,0)</f>
        <v>0.1030586019501285</v>
      </c>
      <c r="N38" s="15">
        <f t="shared" si="2"/>
        <v>0.11043602193360649</v>
      </c>
      <c r="O38" s="15">
        <f t="shared" si="3"/>
        <v>0.11681280238703762</v>
      </c>
    </row>
    <row r="39" spans="2:15" x14ac:dyDescent="0.35">
      <c r="B39" t="s">
        <v>153</v>
      </c>
      <c r="C39" s="15">
        <f>IFERROR(HISTORIACLFINANCIALS!C77/HISTORIACLFINANCIALS!C63,0)</f>
        <v>0.23269476074007325</v>
      </c>
      <c r="D39" s="15">
        <f>IFERROR(HISTORIACLFINANCIALS!D77/HISTORIACLFINANCIALS!D63,0)</f>
        <v>0.24008621933969074</v>
      </c>
      <c r="E39" s="15">
        <f>IFERROR(HISTORIACLFINANCIALS!E77/HISTORIACLFINANCIALS!E63,0)</f>
        <v>0.24228029292064188</v>
      </c>
      <c r="F39" s="15">
        <f>IFERROR(HISTORIACLFINANCIALS!F77/HISTORIACLFINANCIALS!F63,0)</f>
        <v>8.2634163270474473E-2</v>
      </c>
      <c r="G39" s="15">
        <f>IFERROR(HISTORIACLFINANCIALS!G77/HISTORIACLFINANCIALS!G63,0)</f>
        <v>1.4537693488842124E-2</v>
      </c>
      <c r="H39" s="15">
        <f>IFERROR(HISTORIACLFINANCIALS!H77/HISTORIACLFINANCIALS!H63,0)</f>
        <v>0.18482377154257515</v>
      </c>
      <c r="I39" s="15">
        <f>IFERROR(HISTORIACLFINANCIALS!I77/HISTORIACLFINANCIALS!I63,0)</f>
        <v>-1.3019804301089672E-2</v>
      </c>
      <c r="J39" s="15">
        <f>IFERROR(HISTORIACLFINANCIALS!J77/HISTORIACLFINANCIALS!J63,0)</f>
        <v>0.11378667539827109</v>
      </c>
      <c r="K39" s="15">
        <f>IFERROR(HISTORIACLFINANCIALS!K77/HISTORIACLFINANCIALS!K63,0)</f>
        <v>0.16063609186490332</v>
      </c>
      <c r="L39" s="15">
        <f>IFERROR(HISTORIACLFINANCIALS!L77/HISTORIACLFINANCIALS!L63,0)</f>
        <v>0.11941241725467376</v>
      </c>
      <c r="N39" s="15">
        <f t="shared" si="2"/>
        <v>0.13778722815190561</v>
      </c>
      <c r="O39" s="15">
        <f t="shared" si="3"/>
        <v>0.14002425455978854</v>
      </c>
    </row>
    <row r="40" spans="2:15" x14ac:dyDescent="0.35">
      <c r="B40" t="s">
        <v>154</v>
      </c>
      <c r="C40" s="15">
        <f>IFERROR(HISTORIACLFINANCIALS!C77/HISTORIACLFINANCIALS!C48,0)</f>
        <v>43.057600692940667</v>
      </c>
      <c r="D40" s="15">
        <f>IFERROR(HISTORIACLFINANCIALS!D77/HISTORIACLFINANCIALS!D48,0)</f>
        <v>25.796112489660874</v>
      </c>
      <c r="E40" s="15">
        <f>IFERROR(HISTORIACLFINANCIALS!E77/HISTORIACLFINANCIALS!E48,0)</f>
        <v>120.83609271523179</v>
      </c>
      <c r="F40" s="15">
        <f>IFERROR(HISTORIACLFINANCIALS!F77/HISTORIACLFINANCIALS!F48,0)</f>
        <v>33.120300751879704</v>
      </c>
      <c r="G40" s="15">
        <f>IFERROR(HISTORIACLFINANCIALS!G77/HISTORIACLFINANCIALS!G48,0)</f>
        <v>5.0244432373709937</v>
      </c>
      <c r="H40" s="15">
        <f>IFERROR(HISTORIACLFINANCIALS!H77/HISTORIACLFINANCIALS!H48,0)</f>
        <v>24.38898132741727</v>
      </c>
      <c r="I40" s="15">
        <f>IFERROR(HISTORIACLFINANCIALS!I77/HISTORIACLFINANCIALS!I48,0)</f>
        <v>-2.2843713278495885</v>
      </c>
      <c r="J40" s="15">
        <f>IFERROR(HISTORIACLFINANCIALS!J77/HISTORIACLFINANCIALS!J48,0)</f>
        <v>7.7174697346267944</v>
      </c>
      <c r="K40" s="15">
        <f>IFERROR(HISTORIACLFINANCIALS!K77/HISTORIACLFINANCIALS!K48,0)</f>
        <v>156.17200674536258</v>
      </c>
      <c r="L40" s="15">
        <f>IFERROR(HISTORIACLFINANCIALS!L77/HISTORIACLFINANCIALS!L48,0)</f>
        <v>181.13793103448276</v>
      </c>
      <c r="N40" s="15">
        <f t="shared" si="2"/>
        <v>59.496656740112385</v>
      </c>
      <c r="O40" s="15">
        <f t="shared" si="3"/>
        <v>29.458206620770291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70DDEA3-8ECF-46FB-9D0A-A838EF4861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xr2:uid="{3BDA11CB-8933-4F43-966E-D9AA903C8E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xr2:uid="{A6A5AEF1-F257-408A-AD0C-692E54E1AF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xr2:uid="{AC861A52-F8C7-4EA0-91ED-2A4AA9B5AB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xr2:uid="{EC427782-9D53-4E70-9C12-AF0C60EEF1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xr2:uid="{F798BF80-A181-40F6-9090-06B1FAB0DD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xr2:uid="{1A6DAFC7-CFDA-4DD7-B267-49233444E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F6C4-61A6-4A96-AE75-0C1135830E24}">
  <sheetPr>
    <tabColor theme="1"/>
  </sheetPr>
  <dimension ref="B2:O38"/>
  <sheetViews>
    <sheetView showGridLines="0" zoomScale="97" workbookViewId="0">
      <selection activeCell="D15" sqref="D15"/>
    </sheetView>
  </sheetViews>
  <sheetFormatPr defaultRowHeight="14.5" x14ac:dyDescent="0.35"/>
  <cols>
    <col min="1" max="1" width="1.81640625" customWidth="1"/>
    <col min="2" max="2" width="12.453125" bestFit="1" customWidth="1"/>
    <col min="3" max="3" width="12.1796875" bestFit="1" customWidth="1"/>
    <col min="4" max="4" width="13.54296875" bestFit="1" customWidth="1"/>
    <col min="5" max="5" width="14" bestFit="1" customWidth="1"/>
    <col min="6" max="6" width="2.90625" customWidth="1"/>
    <col min="7" max="7" width="11.81640625" bestFit="1" customWidth="1"/>
    <col min="8" max="8" width="13.54296875" bestFit="1" customWidth="1"/>
    <col min="9" max="9" width="11.81640625" bestFit="1" customWidth="1"/>
    <col min="10" max="10" width="14" bestFit="1" customWidth="1"/>
    <col min="11" max="11" width="12.453125" bestFit="1" customWidth="1"/>
  </cols>
  <sheetData>
    <row r="2" spans="2:15" x14ac:dyDescent="0.35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2:15" x14ac:dyDescent="0.35">
      <c r="B3" s="44" t="str">
        <f>'Data Sheet'!B1&amp;" - "&amp;HISTORIACLFINANCIALS!B5</f>
        <v>MARUTI SUZUKI INDIA LTD - SALES</v>
      </c>
      <c r="C3" s="44"/>
      <c r="D3" s="44"/>
      <c r="E3" s="44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x14ac:dyDescent="0.35">
      <c r="B4" s="9" t="s">
        <v>158</v>
      </c>
      <c r="C4" s="9" t="s">
        <v>159</v>
      </c>
      <c r="D4" s="9" t="s">
        <v>160</v>
      </c>
      <c r="E4" s="9" t="s">
        <v>59</v>
      </c>
      <c r="F4" s="42"/>
      <c r="G4" s="9" t="s">
        <v>158</v>
      </c>
      <c r="H4" s="41" t="s">
        <v>159</v>
      </c>
      <c r="I4" s="41" t="s">
        <v>160</v>
      </c>
      <c r="J4" s="41" t="s">
        <v>59</v>
      </c>
    </row>
    <row r="5" spans="2:15" x14ac:dyDescent="0.35">
      <c r="B5" s="33">
        <v>1</v>
      </c>
      <c r="C5" s="34">
        <f>HISTORIACLFINANCIALS!$C$3</f>
        <v>42460</v>
      </c>
      <c r="D5" s="39" cm="1">
        <f t="array" ref="D5:D14">TRANSPOSE(HISTORIACLFINANCIALS!C5:L5)</f>
        <v>57589</v>
      </c>
      <c r="E5" s="28" t="s">
        <v>83</v>
      </c>
      <c r="F5" s="42"/>
      <c r="G5" s="33">
        <v>1</v>
      </c>
      <c r="H5" s="34">
        <f>HISTORIACLFINANCIALS!$C$3</f>
        <v>42460</v>
      </c>
      <c r="I5" t="s">
        <v>84</v>
      </c>
    </row>
    <row r="6" spans="2:15" x14ac:dyDescent="0.35">
      <c r="B6" s="33">
        <f>B5+1</f>
        <v>2</v>
      </c>
      <c r="C6" s="34">
        <f>C5+365</f>
        <v>42825</v>
      </c>
      <c r="D6" s="39">
        <v>68085</v>
      </c>
      <c r="E6" s="15">
        <f>D6/D5-1</f>
        <v>0.18225702825192314</v>
      </c>
      <c r="F6" s="42"/>
      <c r="G6" s="33">
        <f>G5+1</f>
        <v>2</v>
      </c>
      <c r="H6" s="34">
        <f>H5+365</f>
        <v>42825</v>
      </c>
    </row>
    <row r="7" spans="2:15" x14ac:dyDescent="0.35">
      <c r="B7" s="33">
        <f t="shared" ref="B7:B19" si="0">B6+1</f>
        <v>3</v>
      </c>
      <c r="C7" s="34">
        <f>C6+365</f>
        <v>43190</v>
      </c>
      <c r="D7" s="39">
        <v>79809.399999999994</v>
      </c>
      <c r="E7" s="15">
        <f t="shared" ref="E7:E19" si="1">D7/D6-1</f>
        <v>0.17220239406624072</v>
      </c>
      <c r="F7" s="42"/>
      <c r="G7" s="33">
        <f t="shared" ref="G7:G19" si="2">G6+1</f>
        <v>3</v>
      </c>
      <c r="H7" s="34">
        <f>H6+365</f>
        <v>43190</v>
      </c>
    </row>
    <row r="8" spans="2:15" x14ac:dyDescent="0.35">
      <c r="B8" s="33">
        <f t="shared" si="0"/>
        <v>4</v>
      </c>
      <c r="C8" s="34">
        <f>C7+365</f>
        <v>43555</v>
      </c>
      <c r="D8" s="39">
        <v>86068.5</v>
      </c>
      <c r="E8" s="15">
        <f t="shared" si="1"/>
        <v>7.8425598989592782E-2</v>
      </c>
      <c r="F8" s="42"/>
      <c r="G8" s="33">
        <f t="shared" si="2"/>
        <v>4</v>
      </c>
      <c r="H8" s="34">
        <f t="shared" ref="H8:H19" si="3">H7+365</f>
        <v>43555</v>
      </c>
    </row>
    <row r="9" spans="2:15" x14ac:dyDescent="0.35">
      <c r="B9" s="33">
        <f t="shared" si="0"/>
        <v>5</v>
      </c>
      <c r="C9" s="34">
        <f t="shared" ref="C9:C19" si="4">C8+365</f>
        <v>43920</v>
      </c>
      <c r="D9" s="39">
        <v>75660</v>
      </c>
      <c r="E9" s="15">
        <f>D9/D8-1</f>
        <v>-0.12093274542951249</v>
      </c>
      <c r="F9" s="42"/>
      <c r="G9" s="33">
        <f t="shared" si="2"/>
        <v>5</v>
      </c>
      <c r="H9" s="34">
        <f t="shared" si="3"/>
        <v>43920</v>
      </c>
    </row>
    <row r="10" spans="2:15" x14ac:dyDescent="0.35">
      <c r="B10" s="33">
        <f t="shared" si="0"/>
        <v>6</v>
      </c>
      <c r="C10" s="34">
        <f t="shared" si="4"/>
        <v>44285</v>
      </c>
      <c r="D10" s="39">
        <v>70372</v>
      </c>
      <c r="E10" s="15">
        <f>D10/D9-1</f>
        <v>-6.9891620407084298E-2</v>
      </c>
      <c r="F10" s="42"/>
      <c r="G10" s="33">
        <f t="shared" si="2"/>
        <v>6</v>
      </c>
      <c r="H10" s="34">
        <f t="shared" si="3"/>
        <v>44285</v>
      </c>
    </row>
    <row r="11" spans="2:15" x14ac:dyDescent="0.35">
      <c r="B11" s="33">
        <f t="shared" si="0"/>
        <v>7</v>
      </c>
      <c r="C11" s="34">
        <f t="shared" si="4"/>
        <v>44650</v>
      </c>
      <c r="D11" s="39">
        <v>88329.8</v>
      </c>
      <c r="E11" s="15">
        <f t="shared" si="1"/>
        <v>0.25518387995225389</v>
      </c>
      <c r="F11" s="42"/>
      <c r="G11" s="33">
        <f t="shared" si="2"/>
        <v>7</v>
      </c>
      <c r="H11" s="34">
        <f t="shared" si="3"/>
        <v>44650</v>
      </c>
    </row>
    <row r="12" spans="2:15" x14ac:dyDescent="0.35">
      <c r="B12" s="33">
        <f t="shared" si="0"/>
        <v>8</v>
      </c>
      <c r="C12" s="34">
        <f t="shared" si="4"/>
        <v>45015</v>
      </c>
      <c r="D12" s="39">
        <v>117571.3</v>
      </c>
      <c r="E12" s="15">
        <f t="shared" si="1"/>
        <v>0.3310490910202446</v>
      </c>
      <c r="F12" s="42"/>
      <c r="G12" s="33">
        <f t="shared" si="2"/>
        <v>8</v>
      </c>
      <c r="H12" s="34">
        <f t="shared" si="3"/>
        <v>45015</v>
      </c>
    </row>
    <row r="13" spans="2:15" x14ac:dyDescent="0.35">
      <c r="B13" s="33">
        <f t="shared" si="0"/>
        <v>9</v>
      </c>
      <c r="C13" s="34">
        <f>C12+365</f>
        <v>45380</v>
      </c>
      <c r="D13" s="39">
        <v>141858.20000000001</v>
      </c>
      <c r="E13" s="15">
        <f t="shared" si="1"/>
        <v>0.20657167182807368</v>
      </c>
      <c r="F13" s="42"/>
      <c r="G13" s="33">
        <f t="shared" si="2"/>
        <v>9</v>
      </c>
      <c r="H13" s="34">
        <f>H12+365</f>
        <v>45380</v>
      </c>
    </row>
    <row r="14" spans="2:15" x14ac:dyDescent="0.35">
      <c r="B14" s="33">
        <f t="shared" si="0"/>
        <v>10</v>
      </c>
      <c r="C14" s="34">
        <f t="shared" si="4"/>
        <v>45745</v>
      </c>
      <c r="D14" s="39">
        <v>152913</v>
      </c>
      <c r="E14" s="15">
        <f t="shared" si="1"/>
        <v>7.7928522989858751E-2</v>
      </c>
      <c r="F14" s="42"/>
      <c r="G14" s="33">
        <f t="shared" si="2"/>
        <v>10</v>
      </c>
      <c r="H14" s="34">
        <f t="shared" si="3"/>
        <v>45745</v>
      </c>
    </row>
    <row r="15" spans="2:15" x14ac:dyDescent="0.35">
      <c r="B15" s="33">
        <f t="shared" si="0"/>
        <v>11</v>
      </c>
      <c r="C15" s="35">
        <f t="shared" si="4"/>
        <v>46110</v>
      </c>
      <c r="D15" s="40">
        <f>FORECAST(B15,_xlfn.ANCHORARRAY($D$5),$B$5:$B$14)</f>
        <v>145980.08000000005</v>
      </c>
      <c r="E15" s="15">
        <f t="shared" si="1"/>
        <v>-4.5338983605056171E-2</v>
      </c>
      <c r="F15" s="42"/>
      <c r="G15" s="33">
        <f t="shared" si="2"/>
        <v>11</v>
      </c>
      <c r="H15" s="35">
        <f t="shared" si="3"/>
        <v>46110</v>
      </c>
    </row>
    <row r="16" spans="2:15" x14ac:dyDescent="0.35">
      <c r="B16" s="33">
        <f t="shared" si="0"/>
        <v>12</v>
      </c>
      <c r="C16" s="35">
        <f t="shared" si="4"/>
        <v>46475</v>
      </c>
      <c r="D16" s="40">
        <f t="shared" ref="D16:D19" si="5">FORECAST(B16,_xlfn.ANCHORARRAY($D$5),$B$5:$B$14)</f>
        <v>155462.70909090913</v>
      </c>
      <c r="E16" s="15">
        <f t="shared" si="1"/>
        <v>6.4958377135490686E-2</v>
      </c>
      <c r="F16" s="42"/>
      <c r="G16" s="33">
        <f t="shared" si="2"/>
        <v>12</v>
      </c>
      <c r="H16" s="35">
        <f t="shared" si="3"/>
        <v>46475</v>
      </c>
    </row>
    <row r="17" spans="2:8" x14ac:dyDescent="0.35">
      <c r="B17" s="33">
        <f t="shared" si="0"/>
        <v>13</v>
      </c>
      <c r="C17" s="35">
        <f t="shared" si="4"/>
        <v>46840</v>
      </c>
      <c r="D17" s="40">
        <f t="shared" si="5"/>
        <v>164945.33818181822</v>
      </c>
      <c r="E17" s="15">
        <f t="shared" si="1"/>
        <v>6.0996165230621235E-2</v>
      </c>
      <c r="F17" s="42"/>
      <c r="G17" s="33">
        <f t="shared" si="2"/>
        <v>13</v>
      </c>
      <c r="H17" s="35">
        <f t="shared" si="3"/>
        <v>46840</v>
      </c>
    </row>
    <row r="18" spans="2:8" x14ac:dyDescent="0.35">
      <c r="B18" s="33">
        <f t="shared" si="0"/>
        <v>14</v>
      </c>
      <c r="C18" s="35">
        <f t="shared" si="4"/>
        <v>47205</v>
      </c>
      <c r="D18" s="40">
        <f t="shared" si="5"/>
        <v>174427.96727272731</v>
      </c>
      <c r="E18" s="15">
        <f t="shared" si="1"/>
        <v>5.7489524683967952E-2</v>
      </c>
      <c r="F18" s="42"/>
      <c r="G18" s="33">
        <f t="shared" si="2"/>
        <v>14</v>
      </c>
      <c r="H18" s="35">
        <f t="shared" si="3"/>
        <v>47205</v>
      </c>
    </row>
    <row r="19" spans="2:8" x14ac:dyDescent="0.35">
      <c r="B19" s="33">
        <f t="shared" si="0"/>
        <v>15</v>
      </c>
      <c r="C19" s="35">
        <f t="shared" si="4"/>
        <v>47570</v>
      </c>
      <c r="D19" s="40">
        <f t="shared" si="5"/>
        <v>183910.5963636364</v>
      </c>
      <c r="E19" s="15">
        <f t="shared" si="1"/>
        <v>5.4364155239408962E-2</v>
      </c>
      <c r="F19" s="42"/>
      <c r="G19" s="33">
        <f t="shared" si="2"/>
        <v>15</v>
      </c>
      <c r="H19" s="35">
        <f t="shared" si="3"/>
        <v>47570</v>
      </c>
    </row>
    <row r="21" spans="2:8" x14ac:dyDescent="0.35">
      <c r="B21" t="s">
        <v>161</v>
      </c>
    </row>
    <row r="22" spans="2:8" ht="15" thickBot="1" x14ac:dyDescent="0.4"/>
    <row r="23" spans="2:8" x14ac:dyDescent="0.35">
      <c r="B23" s="38"/>
      <c r="C23" s="38"/>
    </row>
    <row r="24" spans="2:8" x14ac:dyDescent="0.35">
      <c r="B24" t="s">
        <v>162</v>
      </c>
      <c r="C24">
        <v>0.88345136297045634</v>
      </c>
    </row>
    <row r="25" spans="2:8" x14ac:dyDescent="0.35">
      <c r="B25" t="s">
        <v>163</v>
      </c>
      <c r="C25">
        <v>0.78048631073435693</v>
      </c>
    </row>
    <row r="26" spans="2:8" x14ac:dyDescent="0.35">
      <c r="B26" t="s">
        <v>164</v>
      </c>
      <c r="C26">
        <v>0.75304709957615157</v>
      </c>
    </row>
    <row r="27" spans="2:8" x14ac:dyDescent="0.35">
      <c r="B27" t="s">
        <v>165</v>
      </c>
      <c r="C27">
        <v>16149.49341498899</v>
      </c>
    </row>
    <row r="28" spans="2:8" ht="15" thickBot="1" x14ac:dyDescent="0.4">
      <c r="B28" s="36" t="s">
        <v>166</v>
      </c>
      <c r="C28" s="36">
        <v>10</v>
      </c>
    </row>
    <row r="30" spans="2:8" ht="15" thickBot="1" x14ac:dyDescent="0.4">
      <c r="B30" t="s">
        <v>167</v>
      </c>
    </row>
    <row r="31" spans="2:8" x14ac:dyDescent="0.35">
      <c r="B31" s="37"/>
      <c r="C31" s="37" t="s">
        <v>171</v>
      </c>
      <c r="D31" s="37" t="s">
        <v>172</v>
      </c>
      <c r="E31" s="37" t="s">
        <v>173</v>
      </c>
      <c r="F31" s="37" t="s">
        <v>174</v>
      </c>
      <c r="G31" s="37" t="s">
        <v>175</v>
      </c>
    </row>
    <row r="32" spans="2:8" x14ac:dyDescent="0.35">
      <c r="B32" t="s">
        <v>168</v>
      </c>
      <c r="C32">
        <v>1</v>
      </c>
      <c r="D32">
        <v>7418420994.2498178</v>
      </c>
      <c r="E32">
        <v>7418420994.2498178</v>
      </c>
      <c r="F32">
        <v>28.444196381387631</v>
      </c>
      <c r="G32">
        <v>6.9973879064678208E-4</v>
      </c>
    </row>
    <row r="33" spans="2:10" x14ac:dyDescent="0.35">
      <c r="B33" t="s">
        <v>169</v>
      </c>
      <c r="C33">
        <v>8</v>
      </c>
      <c r="D33">
        <v>2086449100.4861822</v>
      </c>
      <c r="E33">
        <v>260806137.56077278</v>
      </c>
    </row>
    <row r="34" spans="2:10" ht="15" thickBot="1" x14ac:dyDescent="0.4">
      <c r="B34" s="36" t="s">
        <v>12</v>
      </c>
      <c r="C34" s="36">
        <v>9</v>
      </c>
      <c r="D34" s="36">
        <v>9504870094.7360001</v>
      </c>
      <c r="E34" s="36"/>
      <c r="F34" s="36"/>
      <c r="G34" s="36"/>
    </row>
    <row r="35" spans="2:10" ht="15" thickBot="1" x14ac:dyDescent="0.4"/>
    <row r="36" spans="2:10" x14ac:dyDescent="0.35">
      <c r="B36" s="37"/>
      <c r="C36" s="37" t="s">
        <v>176</v>
      </c>
      <c r="D36" s="37" t="s">
        <v>165</v>
      </c>
      <c r="E36" s="37" t="s">
        <v>177</v>
      </c>
      <c r="F36" s="37" t="s">
        <v>178</v>
      </c>
      <c r="G36" s="37" t="s">
        <v>179</v>
      </c>
      <c r="H36" s="37" t="s">
        <v>180</v>
      </c>
      <c r="I36" s="37" t="s">
        <v>181</v>
      </c>
      <c r="J36" s="37" t="s">
        <v>182</v>
      </c>
    </row>
    <row r="37" spans="2:10" x14ac:dyDescent="0.35">
      <c r="B37" t="s">
        <v>170</v>
      </c>
      <c r="C37">
        <v>41671.160000000025</v>
      </c>
      <c r="D37">
        <v>11032.204261238729</v>
      </c>
      <c r="E37">
        <v>3.7772288305438848</v>
      </c>
      <c r="F37">
        <v>5.4095058246916355E-3</v>
      </c>
      <c r="G37">
        <v>16230.851353166483</v>
      </c>
      <c r="H37">
        <v>67111.468646833571</v>
      </c>
      <c r="I37">
        <v>16230.851353166483</v>
      </c>
      <c r="J37">
        <v>67111.468646833571</v>
      </c>
    </row>
    <row r="38" spans="2:10" ht="15" thickBot="1" x14ac:dyDescent="0.4">
      <c r="B38" s="36" t="s">
        <v>183</v>
      </c>
      <c r="C38" s="36">
        <v>9482.6290909090912</v>
      </c>
      <c r="D38" s="36">
        <v>1778.0007075049648</v>
      </c>
      <c r="E38" s="36">
        <v>5.3333100773710536</v>
      </c>
      <c r="F38" s="36">
        <v>6.9973879064678143E-4</v>
      </c>
      <c r="G38" s="36">
        <v>5382.552107006708</v>
      </c>
      <c r="H38" s="36">
        <v>13582.706074811475</v>
      </c>
      <c r="I38" s="36">
        <v>5382.552107006708</v>
      </c>
      <c r="J38" s="36">
        <v>13582.706074811475</v>
      </c>
    </row>
  </sheetData>
  <mergeCells count="1">
    <mergeCell ref="B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"/>
  <sheetViews>
    <sheetView zoomScale="104" zoomScaleNormal="120" zoomScalePageLayoutView="120" workbookViewId="0">
      <pane xSplit="1" ySplit="1" topLeftCell="B16" activePane="bottomRight" state="frozen"/>
      <selection activeCell="C4" sqref="C4"/>
      <selection pane="topRight" activeCell="C4" sqref="C4"/>
      <selection pane="bottomLeft" activeCell="C4" sqref="C4"/>
      <selection pane="bottomRight" activeCell="D48" sqref="D48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33</v>
      </c>
      <c r="E1" s="45" t="str">
        <f>IF(B2&lt;&gt;B3, "A NEW VERSION OF THE WORKSHEET IS AVAILABLE", "")</f>
        <v/>
      </c>
      <c r="F1" s="45"/>
      <c r="G1" s="45"/>
      <c r="H1" s="45"/>
      <c r="I1" s="45"/>
      <c r="J1" s="45"/>
      <c r="K1" s="45"/>
    </row>
    <row r="2" spans="1:11" x14ac:dyDescent="0.35">
      <c r="A2" s="1" t="s">
        <v>31</v>
      </c>
      <c r="B2" s="3">
        <v>2.1</v>
      </c>
      <c r="E2" s="46" t="s">
        <v>21</v>
      </c>
      <c r="F2" s="46"/>
      <c r="G2" s="46"/>
      <c r="H2" s="46"/>
      <c r="I2" s="46"/>
      <c r="J2" s="46"/>
      <c r="K2" s="46"/>
    </row>
    <row r="3" spans="1:11" x14ac:dyDescent="0.35">
      <c r="A3" s="1" t="s">
        <v>32</v>
      </c>
      <c r="B3" s="3">
        <v>2.1</v>
      </c>
    </row>
    <row r="4" spans="1:11" x14ac:dyDescent="0.35">
      <c r="A4" s="1"/>
    </row>
    <row r="5" spans="1:11" x14ac:dyDescent="0.35">
      <c r="A5" s="1" t="s">
        <v>34</v>
      </c>
    </row>
    <row r="6" spans="1:11" x14ac:dyDescent="0.35">
      <c r="A6" s="3" t="s">
        <v>27</v>
      </c>
      <c r="B6" s="3">
        <f>IF(B9&gt;0, B9/B8, 0)</f>
        <v>31.440256174383261</v>
      </c>
    </row>
    <row r="7" spans="1:11" x14ac:dyDescent="0.35">
      <c r="A7" s="3" t="s">
        <v>16</v>
      </c>
      <c r="B7">
        <v>5</v>
      </c>
    </row>
    <row r="8" spans="1:11" x14ac:dyDescent="0.35">
      <c r="A8" s="3" t="s">
        <v>28</v>
      </c>
      <c r="B8">
        <v>14294.95</v>
      </c>
    </row>
    <row r="9" spans="1:11" x14ac:dyDescent="0.35">
      <c r="A9" s="3" t="s">
        <v>44</v>
      </c>
      <c r="B9">
        <v>449436.89</v>
      </c>
    </row>
    <row r="15" spans="1:11" x14ac:dyDescent="0.35">
      <c r="A15" s="1" t="s">
        <v>22</v>
      </c>
    </row>
    <row r="16" spans="1:11" s="7" customFormat="1" x14ac:dyDescent="0.35">
      <c r="A16" s="6" t="s">
        <v>23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2" s="4" customFormat="1" x14ac:dyDescent="0.35">
      <c r="A17" s="4" t="s">
        <v>1</v>
      </c>
      <c r="B17">
        <v>57589</v>
      </c>
      <c r="C17">
        <v>68085</v>
      </c>
      <c r="D17">
        <v>79809.399999999994</v>
      </c>
      <c r="E17">
        <v>86068.5</v>
      </c>
      <c r="F17">
        <v>75660</v>
      </c>
      <c r="G17">
        <v>70372</v>
      </c>
      <c r="H17">
        <v>88329.8</v>
      </c>
      <c r="I17">
        <v>117571.3</v>
      </c>
      <c r="J17">
        <v>141858.20000000001</v>
      </c>
      <c r="K17">
        <v>152913</v>
      </c>
    </row>
    <row r="18" spans="1:12" s="4" customFormat="1" x14ac:dyDescent="0.35">
      <c r="A18" s="3" t="s">
        <v>45</v>
      </c>
      <c r="B18">
        <v>38701.199999999997</v>
      </c>
      <c r="C18">
        <v>47121.5</v>
      </c>
      <c r="D18">
        <v>54945.3</v>
      </c>
      <c r="E18">
        <v>59346.6</v>
      </c>
      <c r="F18">
        <v>53402</v>
      </c>
      <c r="G18">
        <v>50550.5</v>
      </c>
      <c r="H18">
        <v>66137.100000000006</v>
      </c>
      <c r="I18">
        <v>86654.7</v>
      </c>
      <c r="J18">
        <v>100119.5</v>
      </c>
      <c r="K18">
        <v>108718.3</v>
      </c>
      <c r="L18" s="4" t="s">
        <v>84</v>
      </c>
    </row>
    <row r="19" spans="1:12" s="4" customFormat="1" x14ac:dyDescent="0.35">
      <c r="A19" s="3" t="s">
        <v>46</v>
      </c>
      <c r="B19">
        <v>-4.8</v>
      </c>
      <c r="C19">
        <v>379.3</v>
      </c>
      <c r="D19">
        <v>-40.799999999999997</v>
      </c>
      <c r="E19">
        <v>-211.6</v>
      </c>
      <c r="F19">
        <v>238.7</v>
      </c>
      <c r="G19">
        <v>-273.60000000000002</v>
      </c>
      <c r="H19">
        <v>93.1</v>
      </c>
      <c r="I19">
        <v>403.9</v>
      </c>
      <c r="J19">
        <v>378.6</v>
      </c>
      <c r="K19">
        <v>1227.5</v>
      </c>
    </row>
    <row r="20" spans="1:12" s="4" customFormat="1" x14ac:dyDescent="0.35">
      <c r="A20" s="3" t="s">
        <v>47</v>
      </c>
      <c r="B20">
        <v>694.1</v>
      </c>
      <c r="C20">
        <v>518.6</v>
      </c>
      <c r="D20">
        <v>673.4</v>
      </c>
      <c r="E20">
        <v>863.3</v>
      </c>
      <c r="F20">
        <v>699.5</v>
      </c>
      <c r="G20">
        <v>476.6</v>
      </c>
      <c r="H20">
        <v>630.9</v>
      </c>
      <c r="I20">
        <v>790</v>
      </c>
      <c r="J20">
        <v>1033.4000000000001</v>
      </c>
      <c r="K20">
        <v>1052.5999999999999</v>
      </c>
    </row>
    <row r="21" spans="1:12" s="4" customFormat="1" x14ac:dyDescent="0.35">
      <c r="A21" s="3" t="s">
        <v>48</v>
      </c>
      <c r="B21">
        <v>427.8</v>
      </c>
      <c r="C21">
        <v>382.9</v>
      </c>
      <c r="D21">
        <v>462.1</v>
      </c>
      <c r="E21">
        <v>475.7</v>
      </c>
      <c r="F21">
        <v>378.1</v>
      </c>
      <c r="G21">
        <v>683.3</v>
      </c>
      <c r="H21">
        <v>852.5</v>
      </c>
      <c r="I21">
        <v>1120.7</v>
      </c>
      <c r="J21">
        <v>939.3</v>
      </c>
      <c r="K21">
        <v>1994.4</v>
      </c>
    </row>
    <row r="22" spans="1:12" s="4" customFormat="1" x14ac:dyDescent="0.35">
      <c r="A22" s="3" t="s">
        <v>49</v>
      </c>
      <c r="B22">
        <v>2000.3</v>
      </c>
      <c r="C22">
        <v>2360.3000000000002</v>
      </c>
      <c r="D22">
        <v>2863.4</v>
      </c>
      <c r="E22">
        <v>3285</v>
      </c>
      <c r="F22">
        <v>3416.2</v>
      </c>
      <c r="G22">
        <v>3431.6</v>
      </c>
      <c r="H22">
        <v>4051.4</v>
      </c>
      <c r="I22">
        <v>4634.6000000000004</v>
      </c>
      <c r="J22">
        <v>6301.6</v>
      </c>
      <c r="K22">
        <v>7026</v>
      </c>
    </row>
    <row r="23" spans="1:12" s="4" customFormat="1" x14ac:dyDescent="0.35">
      <c r="A23" s="3" t="s">
        <v>50</v>
      </c>
      <c r="B23">
        <v>5367.3</v>
      </c>
      <c r="C23">
        <v>6111.3</v>
      </c>
      <c r="D23">
        <v>6755.3</v>
      </c>
      <c r="E23">
        <v>8390.2999999999993</v>
      </c>
      <c r="F23">
        <v>8456.2999999999993</v>
      </c>
      <c r="G23">
        <v>7924</v>
      </c>
      <c r="H23">
        <v>9119.1</v>
      </c>
      <c r="I23">
        <v>11695</v>
      </c>
      <c r="J23">
        <v>12082.6</v>
      </c>
      <c r="K23">
        <v>11523.3</v>
      </c>
    </row>
    <row r="24" spans="1:12" s="4" customFormat="1" x14ac:dyDescent="0.35">
      <c r="A24" s="3" t="s">
        <v>51</v>
      </c>
      <c r="B24">
        <v>1369.4</v>
      </c>
      <c r="C24">
        <v>1548.4</v>
      </c>
      <c r="D24">
        <v>1951.2</v>
      </c>
      <c r="E24">
        <v>2439.6999999999998</v>
      </c>
      <c r="F24">
        <v>2191.6</v>
      </c>
      <c r="G24">
        <v>1621.8</v>
      </c>
      <c r="H24">
        <v>1879.9</v>
      </c>
      <c r="I24">
        <v>2051</v>
      </c>
      <c r="J24">
        <v>3134.1</v>
      </c>
      <c r="K24">
        <v>3602.3</v>
      </c>
    </row>
    <row r="25" spans="1:12" s="4" customFormat="1" x14ac:dyDescent="0.35">
      <c r="A25" s="4" t="s">
        <v>4</v>
      </c>
      <c r="B25">
        <v>1464.1</v>
      </c>
      <c r="C25">
        <v>2399.1999999999998</v>
      </c>
      <c r="D25">
        <v>2154.6</v>
      </c>
      <c r="E25">
        <v>2664.2</v>
      </c>
      <c r="F25">
        <v>3410.4</v>
      </c>
      <c r="G25">
        <v>3046.3</v>
      </c>
      <c r="H25">
        <v>1860.8</v>
      </c>
      <c r="I25">
        <v>2306.6</v>
      </c>
      <c r="J25">
        <v>4247.6000000000004</v>
      </c>
      <c r="K25">
        <v>5198.8</v>
      </c>
    </row>
    <row r="26" spans="1:12" s="4" customFormat="1" x14ac:dyDescent="0.35">
      <c r="A26" s="4" t="s">
        <v>5</v>
      </c>
      <c r="B26">
        <v>2821.8</v>
      </c>
      <c r="C26">
        <v>2603.9</v>
      </c>
      <c r="D26">
        <v>2759.8</v>
      </c>
      <c r="E26">
        <v>3020.8</v>
      </c>
      <c r="F26">
        <v>3528.4</v>
      </c>
      <c r="G26">
        <v>3034.1</v>
      </c>
      <c r="H26">
        <v>2789</v>
      </c>
      <c r="I26">
        <v>2825.7</v>
      </c>
      <c r="J26">
        <v>5255.8</v>
      </c>
      <c r="K26">
        <v>5608.2</v>
      </c>
    </row>
    <row r="27" spans="1:12" s="4" customFormat="1" x14ac:dyDescent="0.35">
      <c r="A27" s="4" t="s">
        <v>6</v>
      </c>
      <c r="B27">
        <v>81.7</v>
      </c>
      <c r="C27">
        <v>89.4</v>
      </c>
      <c r="D27">
        <v>345.8</v>
      </c>
      <c r="E27">
        <v>75.900000000000006</v>
      </c>
      <c r="F27">
        <v>134.19999999999999</v>
      </c>
      <c r="G27">
        <v>101.8</v>
      </c>
      <c r="H27">
        <v>126.6</v>
      </c>
      <c r="I27">
        <v>187</v>
      </c>
      <c r="J27">
        <v>193.6</v>
      </c>
      <c r="K27">
        <v>194.2</v>
      </c>
    </row>
    <row r="28" spans="1:12" s="4" customFormat="1" x14ac:dyDescent="0.35">
      <c r="A28" s="4" t="s">
        <v>7</v>
      </c>
      <c r="B28">
        <v>7584.7</v>
      </c>
      <c r="C28">
        <v>10127.200000000001</v>
      </c>
      <c r="D28">
        <v>11166.9</v>
      </c>
      <c r="E28">
        <v>10623.8</v>
      </c>
      <c r="F28">
        <v>7102.8</v>
      </c>
      <c r="G28">
        <v>5321</v>
      </c>
      <c r="H28">
        <v>4697.2</v>
      </c>
      <c r="I28">
        <v>10323.1</v>
      </c>
      <c r="J28">
        <v>17424.5</v>
      </c>
      <c r="K28">
        <v>19620</v>
      </c>
    </row>
    <row r="29" spans="1:12" s="4" customFormat="1" x14ac:dyDescent="0.35">
      <c r="A29" s="4" t="s">
        <v>8</v>
      </c>
      <c r="B29">
        <v>2087.5</v>
      </c>
      <c r="C29">
        <v>2616.1999999999998</v>
      </c>
      <c r="D29">
        <v>3286.2</v>
      </c>
      <c r="E29">
        <v>2973.2</v>
      </c>
      <c r="F29">
        <v>1425.2</v>
      </c>
      <c r="G29">
        <v>931.9</v>
      </c>
      <c r="H29">
        <v>817.7</v>
      </c>
      <c r="I29">
        <v>2112.1</v>
      </c>
      <c r="J29">
        <v>3936.3</v>
      </c>
      <c r="K29">
        <v>5119.8</v>
      </c>
    </row>
    <row r="30" spans="1:12" s="4" customFormat="1" x14ac:dyDescent="0.35">
      <c r="A30" s="4" t="s">
        <v>9</v>
      </c>
      <c r="B30">
        <v>5497.2</v>
      </c>
      <c r="C30">
        <v>7509.9</v>
      </c>
      <c r="D30">
        <v>7880</v>
      </c>
      <c r="E30">
        <v>7649.1</v>
      </c>
      <c r="F30">
        <v>5676</v>
      </c>
      <c r="G30">
        <v>4389.1000000000004</v>
      </c>
      <c r="H30">
        <v>3879.5</v>
      </c>
      <c r="I30">
        <v>8211</v>
      </c>
      <c r="J30">
        <v>13488.2</v>
      </c>
      <c r="K30">
        <v>14500.2</v>
      </c>
    </row>
    <row r="31" spans="1:12" s="4" customFormat="1" x14ac:dyDescent="0.35">
      <c r="A31" s="4" t="s">
        <v>35</v>
      </c>
      <c r="B31">
        <v>1057</v>
      </c>
      <c r="C31">
        <v>2265</v>
      </c>
      <c r="D31">
        <v>2416</v>
      </c>
      <c r="E31">
        <v>2416</v>
      </c>
      <c r="F31">
        <v>1812</v>
      </c>
      <c r="G31">
        <v>1359</v>
      </c>
      <c r="H31">
        <v>1812</v>
      </c>
      <c r="I31">
        <v>2718</v>
      </c>
      <c r="J31">
        <v>3930</v>
      </c>
      <c r="K31">
        <v>4244.3999999999996</v>
      </c>
    </row>
    <row r="32" spans="1:12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24</v>
      </c>
    </row>
    <row r="41" spans="1:11" s="7" customFormat="1" x14ac:dyDescent="0.35">
      <c r="A41" s="6" t="s">
        <v>23</v>
      </c>
      <c r="B41" s="5">
        <v>45199</v>
      </c>
      <c r="C41" s="5">
        <v>45291</v>
      </c>
      <c r="D41" s="5">
        <v>45382</v>
      </c>
      <c r="E41" s="5">
        <v>45473</v>
      </c>
      <c r="F41" s="5">
        <v>45565</v>
      </c>
      <c r="G41" s="5">
        <v>45657</v>
      </c>
      <c r="H41" s="5">
        <v>45747</v>
      </c>
      <c r="I41" s="5">
        <v>45838</v>
      </c>
      <c r="J41" s="5">
        <v>45930</v>
      </c>
      <c r="K41" s="5">
        <v>46022</v>
      </c>
    </row>
    <row r="42" spans="1:11" s="4" customFormat="1" x14ac:dyDescent="0.35">
      <c r="A42" s="4" t="s">
        <v>1</v>
      </c>
      <c r="B42">
        <v>37339.4</v>
      </c>
      <c r="C42">
        <v>33512.800000000003</v>
      </c>
      <c r="D42">
        <v>38471.199999999997</v>
      </c>
      <c r="E42">
        <v>35779.4</v>
      </c>
      <c r="F42">
        <v>37449.199999999997</v>
      </c>
      <c r="G42">
        <v>38764.300000000003</v>
      </c>
      <c r="H42">
        <v>40920.1</v>
      </c>
      <c r="I42">
        <v>38605.199999999997</v>
      </c>
      <c r="J42">
        <v>42344.2</v>
      </c>
      <c r="K42">
        <v>49904.1</v>
      </c>
    </row>
    <row r="43" spans="1:11" s="4" customFormat="1" x14ac:dyDescent="0.35">
      <c r="A43" s="4" t="s">
        <v>2</v>
      </c>
      <c r="B43">
        <v>32027.9</v>
      </c>
      <c r="C43">
        <v>29072.799999999999</v>
      </c>
      <c r="D43">
        <v>33250.1</v>
      </c>
      <c r="E43">
        <v>30672.799999999999</v>
      </c>
      <c r="F43">
        <v>32450.400000000001</v>
      </c>
      <c r="G43">
        <v>33687.800000000003</v>
      </c>
      <c r="H43">
        <v>36076.1</v>
      </c>
      <c r="I43">
        <v>33982.6</v>
      </c>
      <c r="J43">
        <v>37258.199999999997</v>
      </c>
      <c r="K43">
        <v>44331</v>
      </c>
    </row>
    <row r="44" spans="1:11" s="4" customFormat="1" x14ac:dyDescent="0.35">
      <c r="A44" s="4" t="s">
        <v>4</v>
      </c>
      <c r="B44">
        <v>957.8</v>
      </c>
      <c r="C44">
        <v>1052.9000000000001</v>
      </c>
      <c r="D44">
        <v>1261</v>
      </c>
      <c r="E44">
        <v>1118.0999999999999</v>
      </c>
      <c r="F44">
        <v>1570.5</v>
      </c>
      <c r="G44">
        <v>1124.8</v>
      </c>
      <c r="H44">
        <v>1583.1</v>
      </c>
      <c r="I44">
        <v>1923.7</v>
      </c>
      <c r="J44">
        <v>1013.5</v>
      </c>
      <c r="K44">
        <v>1140.5</v>
      </c>
    </row>
    <row r="45" spans="1:11" s="4" customFormat="1" x14ac:dyDescent="0.35">
      <c r="A45" s="4" t="s">
        <v>5</v>
      </c>
      <c r="B45">
        <v>1341.9</v>
      </c>
      <c r="C45">
        <v>1301.5</v>
      </c>
      <c r="D45">
        <v>1298.3</v>
      </c>
      <c r="E45">
        <v>1331.7</v>
      </c>
      <c r="F45">
        <v>1385.7</v>
      </c>
      <c r="G45">
        <v>1429</v>
      </c>
      <c r="H45">
        <v>1461.8</v>
      </c>
      <c r="I45">
        <v>1556</v>
      </c>
      <c r="J45">
        <v>1703</v>
      </c>
      <c r="K45">
        <v>1734.6</v>
      </c>
    </row>
    <row r="46" spans="1:11" s="4" customFormat="1" x14ac:dyDescent="0.35">
      <c r="A46" s="4" t="s">
        <v>6</v>
      </c>
      <c r="B46">
        <v>35.1</v>
      </c>
      <c r="C46">
        <v>35.799999999999997</v>
      </c>
      <c r="D46">
        <v>76.2</v>
      </c>
      <c r="E46">
        <v>57.3</v>
      </c>
      <c r="F46">
        <v>43</v>
      </c>
      <c r="G46">
        <v>46.3</v>
      </c>
      <c r="H46">
        <v>47.6</v>
      </c>
      <c r="I46">
        <v>46.8</v>
      </c>
      <c r="J46">
        <v>57.2</v>
      </c>
      <c r="K46">
        <v>61.7</v>
      </c>
    </row>
    <row r="47" spans="1:11" s="4" customFormat="1" x14ac:dyDescent="0.35">
      <c r="A47" s="4" t="s">
        <v>7</v>
      </c>
      <c r="B47">
        <v>4892.3</v>
      </c>
      <c r="C47">
        <v>4155.6000000000004</v>
      </c>
      <c r="D47">
        <v>5107.6000000000004</v>
      </c>
      <c r="E47">
        <v>4835.7</v>
      </c>
      <c r="F47">
        <v>5140.6000000000004</v>
      </c>
      <c r="G47">
        <v>4726</v>
      </c>
      <c r="H47">
        <v>4917.7</v>
      </c>
      <c r="I47">
        <v>4943.5</v>
      </c>
      <c r="J47">
        <v>4339.3</v>
      </c>
      <c r="K47">
        <v>4917.3</v>
      </c>
    </row>
    <row r="48" spans="1:11" s="4" customFormat="1" x14ac:dyDescent="0.35">
      <c r="A48" s="4" t="s">
        <v>8</v>
      </c>
      <c r="B48">
        <v>1106.0999999999999</v>
      </c>
      <c r="C48">
        <v>948.8</v>
      </c>
      <c r="D48" t="s">
        <v>84</v>
      </c>
      <c r="E48">
        <v>1076</v>
      </c>
      <c r="F48">
        <v>2038.1</v>
      </c>
      <c r="G48">
        <v>999.1</v>
      </c>
      <c r="H48">
        <v>1006.6</v>
      </c>
      <c r="I48">
        <v>1151.0999999999999</v>
      </c>
      <c r="J48">
        <v>990.3</v>
      </c>
      <c r="K48">
        <v>1038.2</v>
      </c>
    </row>
    <row r="49" spans="1:11" s="4" customFormat="1" x14ac:dyDescent="0.35">
      <c r="A49" s="4" t="s">
        <v>9</v>
      </c>
      <c r="B49">
        <v>3786.2</v>
      </c>
      <c r="C49">
        <v>3206.8</v>
      </c>
      <c r="D49">
        <v>3952.3</v>
      </c>
      <c r="E49">
        <v>3759.7</v>
      </c>
      <c r="F49">
        <v>3102.5</v>
      </c>
      <c r="G49">
        <v>3726.9</v>
      </c>
      <c r="H49">
        <v>3911.1</v>
      </c>
      <c r="I49">
        <v>3792.4</v>
      </c>
      <c r="J49">
        <v>3349</v>
      </c>
      <c r="K49">
        <v>3879.1</v>
      </c>
    </row>
    <row r="50" spans="1:11" x14ac:dyDescent="0.35">
      <c r="A50" s="4" t="s">
        <v>3</v>
      </c>
      <c r="B50">
        <v>5311.5</v>
      </c>
      <c r="C50">
        <v>4440</v>
      </c>
      <c r="D50">
        <v>5221.1000000000004</v>
      </c>
      <c r="E50">
        <v>5106.6000000000004</v>
      </c>
      <c r="F50">
        <v>4998.8</v>
      </c>
      <c r="G50">
        <v>5076.5</v>
      </c>
      <c r="H50">
        <v>4844</v>
      </c>
      <c r="I50">
        <v>4622.6000000000004</v>
      </c>
      <c r="J50">
        <v>5086</v>
      </c>
      <c r="K50">
        <v>5573.1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25</v>
      </c>
    </row>
    <row r="56" spans="1:11" s="7" customFormat="1" x14ac:dyDescent="0.35">
      <c r="A56" s="6" t="s">
        <v>23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35">
      <c r="A57" s="4" t="s">
        <v>10</v>
      </c>
      <c r="B57">
        <v>151</v>
      </c>
      <c r="C57">
        <v>151</v>
      </c>
      <c r="D57">
        <v>151</v>
      </c>
      <c r="E57">
        <v>151</v>
      </c>
      <c r="F57">
        <v>151</v>
      </c>
      <c r="G57">
        <v>151</v>
      </c>
      <c r="H57">
        <v>151</v>
      </c>
      <c r="I57">
        <v>151</v>
      </c>
      <c r="J57">
        <v>157.19999999999999</v>
      </c>
      <c r="K57">
        <v>157.19999999999999</v>
      </c>
    </row>
    <row r="58" spans="1:11" x14ac:dyDescent="0.35">
      <c r="A58" s="4" t="s">
        <v>11</v>
      </c>
      <c r="B58">
        <v>30465</v>
      </c>
      <c r="C58">
        <v>36924.1</v>
      </c>
      <c r="D58">
        <v>42408.4</v>
      </c>
      <c r="E58">
        <v>46941.1</v>
      </c>
      <c r="F58">
        <v>49262</v>
      </c>
      <c r="G58">
        <v>52349.599999999999</v>
      </c>
      <c r="H58">
        <v>55182.5</v>
      </c>
      <c r="I58">
        <v>61640.3</v>
      </c>
      <c r="J58">
        <v>85478.8</v>
      </c>
      <c r="K58">
        <v>96082.7</v>
      </c>
    </row>
    <row r="59" spans="1:11" x14ac:dyDescent="0.35">
      <c r="A59" s="4" t="s">
        <v>36</v>
      </c>
      <c r="B59">
        <v>230.9</v>
      </c>
      <c r="C59">
        <v>483.6</v>
      </c>
      <c r="D59">
        <v>120.8</v>
      </c>
      <c r="E59">
        <v>159.6</v>
      </c>
      <c r="F59">
        <v>184.1</v>
      </c>
      <c r="G59">
        <v>540.9</v>
      </c>
      <c r="H59">
        <v>425.5</v>
      </c>
      <c r="I59">
        <v>1247.3</v>
      </c>
      <c r="J59">
        <v>118.6</v>
      </c>
      <c r="K59">
        <v>87</v>
      </c>
    </row>
    <row r="60" spans="1:11" x14ac:dyDescent="0.35">
      <c r="A60" s="4" t="s">
        <v>37</v>
      </c>
      <c r="B60">
        <v>11878.6</v>
      </c>
      <c r="C60">
        <v>14401.8</v>
      </c>
      <c r="D60">
        <v>17568.2</v>
      </c>
      <c r="E60">
        <v>16717</v>
      </c>
      <c r="F60">
        <v>14030.6</v>
      </c>
      <c r="G60">
        <v>18334.599999999999</v>
      </c>
      <c r="H60">
        <v>18896.5</v>
      </c>
      <c r="I60">
        <v>21558.3</v>
      </c>
      <c r="J60">
        <v>29549.5</v>
      </c>
      <c r="K60">
        <v>35644.300000000003</v>
      </c>
    </row>
    <row r="61" spans="1:11" s="1" customFormat="1" x14ac:dyDescent="0.35">
      <c r="A61" s="1" t="s">
        <v>12</v>
      </c>
      <c r="B61">
        <v>42725.5</v>
      </c>
      <c r="C61">
        <v>51960.5</v>
      </c>
      <c r="D61">
        <v>60248.4</v>
      </c>
      <c r="E61">
        <v>63968.7</v>
      </c>
      <c r="F61">
        <v>63627.7</v>
      </c>
      <c r="G61">
        <v>71376.100000000006</v>
      </c>
      <c r="H61">
        <v>74655.5</v>
      </c>
      <c r="I61">
        <v>84596.9</v>
      </c>
      <c r="J61">
        <v>115304.1</v>
      </c>
      <c r="K61">
        <v>131971.20000000001</v>
      </c>
    </row>
    <row r="62" spans="1:11" x14ac:dyDescent="0.35">
      <c r="A62" s="4" t="s">
        <v>13</v>
      </c>
      <c r="B62">
        <v>12529.6</v>
      </c>
      <c r="C62">
        <v>13310.7</v>
      </c>
      <c r="D62">
        <v>13388.8</v>
      </c>
      <c r="E62">
        <v>15437.3</v>
      </c>
      <c r="F62">
        <v>15744.4</v>
      </c>
      <c r="G62">
        <v>14988.7</v>
      </c>
      <c r="H62">
        <v>13747.2</v>
      </c>
      <c r="I62">
        <v>17830.400000000001</v>
      </c>
      <c r="J62">
        <v>27864.799999999999</v>
      </c>
      <c r="K62">
        <v>32982.699999999997</v>
      </c>
    </row>
    <row r="63" spans="1:11" x14ac:dyDescent="0.35">
      <c r="A63" s="4" t="s">
        <v>14</v>
      </c>
      <c r="B63">
        <v>1006.9</v>
      </c>
      <c r="C63">
        <v>1252.3</v>
      </c>
      <c r="D63">
        <v>2132.1</v>
      </c>
      <c r="E63">
        <v>1606.9</v>
      </c>
      <c r="F63">
        <v>1415.2</v>
      </c>
      <c r="G63">
        <v>1496.8</v>
      </c>
      <c r="H63">
        <v>2936.5</v>
      </c>
      <c r="I63">
        <v>2904.1</v>
      </c>
      <c r="J63">
        <v>7734.8</v>
      </c>
      <c r="K63">
        <v>7929</v>
      </c>
    </row>
    <row r="64" spans="1:11" x14ac:dyDescent="0.35">
      <c r="A64" s="4" t="s">
        <v>15</v>
      </c>
      <c r="B64">
        <v>20675.8</v>
      </c>
      <c r="C64">
        <v>29150.6</v>
      </c>
      <c r="D64">
        <v>36123.1</v>
      </c>
      <c r="E64">
        <v>37503.599999999999</v>
      </c>
      <c r="F64">
        <v>37488</v>
      </c>
      <c r="G64">
        <v>42944.800000000003</v>
      </c>
      <c r="H64">
        <v>42034.7</v>
      </c>
      <c r="I64">
        <v>49184.3</v>
      </c>
      <c r="J64">
        <v>57296</v>
      </c>
      <c r="K64">
        <v>66265.399999999994</v>
      </c>
    </row>
    <row r="65" spans="1:11" x14ac:dyDescent="0.35">
      <c r="A65" s="4" t="s">
        <v>38</v>
      </c>
      <c r="B65">
        <v>8513.2000000000007</v>
      </c>
      <c r="C65">
        <v>8246.9</v>
      </c>
      <c r="D65">
        <v>8604.4</v>
      </c>
      <c r="E65">
        <v>9420.9</v>
      </c>
      <c r="F65">
        <v>8980.1</v>
      </c>
      <c r="G65">
        <v>11945.8</v>
      </c>
      <c r="H65">
        <v>15937.1</v>
      </c>
      <c r="I65">
        <v>14678.1</v>
      </c>
      <c r="J65">
        <v>22408.5</v>
      </c>
      <c r="K65">
        <v>24794.1</v>
      </c>
    </row>
    <row r="66" spans="1:11" s="1" customFormat="1" x14ac:dyDescent="0.35">
      <c r="A66" s="1" t="s">
        <v>12</v>
      </c>
      <c r="B66">
        <v>42725.5</v>
      </c>
      <c r="C66">
        <v>51960.5</v>
      </c>
      <c r="D66">
        <v>60248.4</v>
      </c>
      <c r="E66">
        <v>63968.7</v>
      </c>
      <c r="F66">
        <v>63627.7</v>
      </c>
      <c r="G66">
        <v>71376.100000000006</v>
      </c>
      <c r="H66">
        <v>74655.5</v>
      </c>
      <c r="I66">
        <v>84596.9</v>
      </c>
      <c r="J66">
        <v>115304.1</v>
      </c>
      <c r="K66">
        <v>131971.20000000001</v>
      </c>
    </row>
    <row r="67" spans="1:11" s="4" customFormat="1" x14ac:dyDescent="0.35">
      <c r="A67" s="4" t="s">
        <v>43</v>
      </c>
      <c r="B67">
        <v>1323.4</v>
      </c>
      <c r="C67">
        <v>1202.5999999999999</v>
      </c>
      <c r="D67">
        <v>1465.4</v>
      </c>
      <c r="E67">
        <v>2312.8000000000002</v>
      </c>
      <c r="F67">
        <v>1977.7</v>
      </c>
      <c r="G67">
        <v>1279.9000000000001</v>
      </c>
      <c r="H67">
        <v>2034.5</v>
      </c>
      <c r="I67">
        <v>3301.4</v>
      </c>
      <c r="J67">
        <v>4596.8</v>
      </c>
      <c r="K67">
        <v>6539.7</v>
      </c>
    </row>
    <row r="68" spans="1:11" x14ac:dyDescent="0.35">
      <c r="A68" s="4" t="s">
        <v>29</v>
      </c>
      <c r="B68">
        <v>3132.6</v>
      </c>
      <c r="C68">
        <v>3263.7</v>
      </c>
      <c r="D68">
        <v>3160.2</v>
      </c>
      <c r="E68">
        <v>3322.6</v>
      </c>
      <c r="F68">
        <v>3213.9</v>
      </c>
      <c r="G68">
        <v>3049</v>
      </c>
      <c r="H68">
        <v>3532.3</v>
      </c>
      <c r="I68">
        <v>4283.5</v>
      </c>
      <c r="J68">
        <v>5318.1</v>
      </c>
      <c r="K68">
        <v>6913.2</v>
      </c>
    </row>
    <row r="69" spans="1:11" x14ac:dyDescent="0.35">
      <c r="A69" s="3" t="s">
        <v>52</v>
      </c>
      <c r="B69">
        <v>50.7</v>
      </c>
      <c r="C69">
        <v>23.5</v>
      </c>
      <c r="D69">
        <v>74</v>
      </c>
      <c r="E69">
        <v>187.8</v>
      </c>
      <c r="F69">
        <v>29</v>
      </c>
      <c r="G69">
        <v>3047.1</v>
      </c>
      <c r="H69">
        <v>3042.2</v>
      </c>
      <c r="I69">
        <v>41.6</v>
      </c>
      <c r="J69">
        <v>2827.4</v>
      </c>
      <c r="K69">
        <v>552.9</v>
      </c>
    </row>
    <row r="70" spans="1:11" x14ac:dyDescent="0.35">
      <c r="A70" s="3" t="s">
        <v>39</v>
      </c>
      <c r="B70">
        <v>302080060</v>
      </c>
      <c r="C70">
        <v>302080060</v>
      </c>
      <c r="D70">
        <v>302080060</v>
      </c>
      <c r="E70">
        <v>302080060</v>
      </c>
      <c r="F70">
        <v>302080060</v>
      </c>
      <c r="G70">
        <v>302080060</v>
      </c>
      <c r="H70">
        <v>302080060</v>
      </c>
      <c r="I70">
        <v>302080060</v>
      </c>
      <c r="J70">
        <v>314402574</v>
      </c>
      <c r="K70">
        <v>314402574</v>
      </c>
    </row>
    <row r="71" spans="1:11" x14ac:dyDescent="0.35">
      <c r="A71" s="3" t="s">
        <v>40</v>
      </c>
    </row>
    <row r="72" spans="1:11" x14ac:dyDescent="0.35">
      <c r="A72" s="3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26</v>
      </c>
    </row>
    <row r="81" spans="1:11" s="7" customFormat="1" x14ac:dyDescent="0.35">
      <c r="A81" s="6" t="s">
        <v>23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35">
      <c r="A82" s="4" t="s">
        <v>17</v>
      </c>
      <c r="B82">
        <v>8482.5</v>
      </c>
      <c r="C82">
        <v>10282</v>
      </c>
      <c r="D82">
        <v>11787.9</v>
      </c>
      <c r="E82">
        <v>6600.9</v>
      </c>
      <c r="F82">
        <v>3495.8</v>
      </c>
      <c r="G82">
        <v>8856.2000000000007</v>
      </c>
      <c r="H82">
        <v>1840.5</v>
      </c>
      <c r="I82">
        <v>9251.4</v>
      </c>
      <c r="J82">
        <v>16801.099999999999</v>
      </c>
      <c r="K82">
        <v>16136.2</v>
      </c>
    </row>
    <row r="83" spans="1:11" s="4" customFormat="1" x14ac:dyDescent="0.35">
      <c r="A83" s="4" t="s">
        <v>18</v>
      </c>
      <c r="B83">
        <v>-7230.4</v>
      </c>
      <c r="C83">
        <v>-9173.2000000000007</v>
      </c>
      <c r="D83">
        <v>-8301.7000000000007</v>
      </c>
      <c r="E83">
        <v>-3539.9</v>
      </c>
      <c r="F83">
        <v>-556.6</v>
      </c>
      <c r="G83">
        <v>-7291.3</v>
      </c>
      <c r="H83">
        <v>-239.2</v>
      </c>
      <c r="I83">
        <v>-8036.1</v>
      </c>
      <c r="J83">
        <v>-11864.8</v>
      </c>
      <c r="K83">
        <v>-14456.1</v>
      </c>
    </row>
    <row r="84" spans="1:11" s="4" customFormat="1" x14ac:dyDescent="0.35">
      <c r="A84" s="4" t="s">
        <v>19</v>
      </c>
      <c r="B84">
        <v>-1236.5999999999999</v>
      </c>
      <c r="C84">
        <v>-1129.3</v>
      </c>
      <c r="D84">
        <v>-3436.1</v>
      </c>
      <c r="E84">
        <v>-2947.9</v>
      </c>
      <c r="F84">
        <v>-3104.3</v>
      </c>
      <c r="G84">
        <v>-1544.9</v>
      </c>
      <c r="H84">
        <v>-1607</v>
      </c>
      <c r="I84">
        <v>-1213.0999999999999</v>
      </c>
      <c r="J84">
        <v>-4062</v>
      </c>
      <c r="K84">
        <v>-4155.1000000000004</v>
      </c>
    </row>
    <row r="85" spans="1:11" s="1" customFormat="1" x14ac:dyDescent="0.35">
      <c r="A85" s="4" t="s">
        <v>20</v>
      </c>
      <c r="B85">
        <v>15.5</v>
      </c>
      <c r="C85">
        <v>-20.5</v>
      </c>
      <c r="D85">
        <v>50.1</v>
      </c>
      <c r="E85">
        <v>113.1</v>
      </c>
      <c r="F85">
        <v>-165.1</v>
      </c>
      <c r="G85">
        <v>20</v>
      </c>
      <c r="H85">
        <v>-5.7</v>
      </c>
      <c r="I85">
        <v>2.2000000000000002</v>
      </c>
      <c r="J85">
        <v>874.3</v>
      </c>
      <c r="K85">
        <v>-2475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42</v>
      </c>
      <c r="B90">
        <v>3716.3</v>
      </c>
      <c r="C90">
        <v>6015.7</v>
      </c>
      <c r="D90">
        <v>8861.1</v>
      </c>
      <c r="E90">
        <v>6672.55</v>
      </c>
      <c r="F90">
        <v>4288.3</v>
      </c>
      <c r="G90">
        <v>6859.2</v>
      </c>
      <c r="H90">
        <v>7561.3</v>
      </c>
      <c r="I90">
        <v>8292.15</v>
      </c>
      <c r="J90">
        <v>12600.35</v>
      </c>
      <c r="K90">
        <v>11522.15</v>
      </c>
    </row>
    <row r="92" spans="1:11" s="1" customFormat="1" x14ac:dyDescent="0.35">
      <c r="A92" s="1" t="s">
        <v>41</v>
      </c>
    </row>
    <row r="93" spans="1:11" x14ac:dyDescent="0.35">
      <c r="A93" s="3" t="s">
        <v>54</v>
      </c>
      <c r="B93" s="8">
        <v>30.21</v>
      </c>
      <c r="C93" s="8">
        <v>30.21</v>
      </c>
      <c r="D93" s="8">
        <v>30.21</v>
      </c>
      <c r="E93" s="8">
        <v>30.21</v>
      </c>
      <c r="F93" s="8">
        <v>30.21</v>
      </c>
      <c r="G93" s="8">
        <v>30.21</v>
      </c>
      <c r="H93" s="8">
        <v>30.21</v>
      </c>
      <c r="I93" s="8">
        <v>30.21</v>
      </c>
      <c r="J93" s="8">
        <v>31.44</v>
      </c>
      <c r="K93" s="8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5C74-ABD4-4324-B25F-368FA1A377D1}">
  <dimension ref="B2:N29"/>
  <sheetViews>
    <sheetView showGridLines="0" tabSelected="1" workbookViewId="0">
      <selection activeCell="E23" sqref="E23"/>
    </sheetView>
  </sheetViews>
  <sheetFormatPr defaultRowHeight="14.5" x14ac:dyDescent="0.35"/>
  <cols>
    <col min="1" max="1" width="1.81640625" customWidth="1"/>
    <col min="2" max="2" width="26" bestFit="1" customWidth="1"/>
    <col min="3" max="14" width="6.90625" bestFit="1" customWidth="1"/>
  </cols>
  <sheetData>
    <row r="2" spans="2:14" x14ac:dyDescent="0.35">
      <c r="C2" s="25">
        <v>41699</v>
      </c>
      <c r="D2" s="25">
        <v>42064</v>
      </c>
      <c r="E2" s="25">
        <v>42430</v>
      </c>
      <c r="F2" s="25">
        <v>42795</v>
      </c>
      <c r="G2" s="25">
        <v>43160</v>
      </c>
      <c r="H2" s="25">
        <v>43525</v>
      </c>
      <c r="I2" s="25">
        <v>43891</v>
      </c>
      <c r="J2" s="25">
        <v>44256</v>
      </c>
      <c r="K2" s="25">
        <v>44621</v>
      </c>
      <c r="L2" s="25">
        <v>44986</v>
      </c>
      <c r="M2" s="25">
        <v>45352</v>
      </c>
      <c r="N2" s="25">
        <v>45717</v>
      </c>
    </row>
    <row r="3" spans="2:14" x14ac:dyDescent="0.35">
      <c r="B3" t="s">
        <v>94</v>
      </c>
      <c r="C3" s="26">
        <v>4995</v>
      </c>
      <c r="D3" s="26">
        <v>6449</v>
      </c>
      <c r="E3" s="26">
        <v>8482</v>
      </c>
      <c r="F3" s="26">
        <v>10282</v>
      </c>
      <c r="G3" s="26">
        <v>11788</v>
      </c>
      <c r="H3" s="26">
        <v>6601</v>
      </c>
      <c r="I3" s="26">
        <v>3496</v>
      </c>
      <c r="J3" s="26">
        <v>8856</v>
      </c>
      <c r="K3" s="26">
        <v>1840</v>
      </c>
      <c r="L3" s="26">
        <v>9251</v>
      </c>
      <c r="M3" s="26">
        <v>16801</v>
      </c>
      <c r="N3" s="26">
        <v>16136</v>
      </c>
    </row>
    <row r="4" spans="2:14" x14ac:dyDescent="0.35">
      <c r="B4" t="s">
        <v>95</v>
      </c>
      <c r="C4" s="26">
        <v>5111</v>
      </c>
      <c r="D4" s="26">
        <v>6779</v>
      </c>
      <c r="E4" s="26">
        <v>8935</v>
      </c>
      <c r="F4" s="26">
        <v>10413</v>
      </c>
      <c r="G4" s="26">
        <v>12036</v>
      </c>
      <c r="H4" s="26">
        <v>11060</v>
      </c>
      <c r="I4" s="26">
        <v>7503</v>
      </c>
      <c r="J4" s="26">
        <v>5531</v>
      </c>
      <c r="K4" s="26">
        <v>5832</v>
      </c>
      <c r="L4" s="26">
        <v>11112</v>
      </c>
      <c r="M4" s="26">
        <v>18676</v>
      </c>
      <c r="N4" s="26">
        <v>20322</v>
      </c>
    </row>
    <row r="5" spans="2:14" x14ac:dyDescent="0.35">
      <c r="B5" t="s">
        <v>43</v>
      </c>
      <c r="C5">
        <v>46</v>
      </c>
      <c r="D5">
        <v>345</v>
      </c>
      <c r="E5">
        <v>-204</v>
      </c>
      <c r="F5">
        <v>122</v>
      </c>
      <c r="G5">
        <v>-262</v>
      </c>
      <c r="H5">
        <v>-851</v>
      </c>
      <c r="I5">
        <v>340</v>
      </c>
      <c r="J5">
        <v>696</v>
      </c>
      <c r="K5">
        <v>-764</v>
      </c>
      <c r="L5" s="26">
        <v>-1258</v>
      </c>
      <c r="M5" s="26">
        <v>-1316</v>
      </c>
      <c r="N5" s="26">
        <v>-1969</v>
      </c>
    </row>
    <row r="6" spans="2:14" x14ac:dyDescent="0.35">
      <c r="B6" t="s">
        <v>29</v>
      </c>
      <c r="C6">
        <v>124</v>
      </c>
      <c r="D6">
        <v>-982</v>
      </c>
      <c r="E6">
        <v>-450</v>
      </c>
      <c r="F6">
        <v>-131</v>
      </c>
      <c r="G6">
        <v>104</v>
      </c>
      <c r="H6">
        <v>-162</v>
      </c>
      <c r="I6">
        <v>109</v>
      </c>
      <c r="J6">
        <v>165</v>
      </c>
      <c r="K6">
        <v>-483</v>
      </c>
      <c r="L6">
        <v>-751</v>
      </c>
      <c r="M6">
        <v>125</v>
      </c>
      <c r="N6" s="26">
        <v>-1595</v>
      </c>
    </row>
    <row r="7" spans="2:14" x14ac:dyDescent="0.35">
      <c r="B7" t="s">
        <v>96</v>
      </c>
      <c r="C7">
        <v>813</v>
      </c>
      <c r="D7">
        <v>712</v>
      </c>
      <c r="E7" s="26">
        <v>1789</v>
      </c>
      <c r="F7">
        <v>979</v>
      </c>
      <c r="G7" s="26">
        <v>2128</v>
      </c>
      <c r="H7">
        <v>-858</v>
      </c>
      <c r="I7" s="26">
        <v>-2155</v>
      </c>
      <c r="J7" s="26">
        <v>2680</v>
      </c>
      <c r="K7">
        <v>-396</v>
      </c>
      <c r="L7" s="26">
        <v>2008</v>
      </c>
      <c r="M7" s="26">
        <v>3321</v>
      </c>
      <c r="N7" s="26">
        <v>3509</v>
      </c>
    </row>
    <row r="8" spans="2:14" x14ac:dyDescent="0.35">
      <c r="B8" t="s">
        <v>97</v>
      </c>
      <c r="C8">
        <v>-563</v>
      </c>
      <c r="D8">
        <v>23</v>
      </c>
      <c r="E8">
        <v>-1</v>
      </c>
      <c r="F8">
        <v>1</v>
      </c>
      <c r="G8">
        <v>0</v>
      </c>
      <c r="H8">
        <v>-13</v>
      </c>
      <c r="I8">
        <v>-1</v>
      </c>
      <c r="J8">
        <v>-6</v>
      </c>
      <c r="K8">
        <v>-8</v>
      </c>
      <c r="L8">
        <v>1</v>
      </c>
      <c r="M8">
        <v>-3</v>
      </c>
      <c r="N8">
        <v>-10</v>
      </c>
    </row>
    <row r="9" spans="2:14" x14ac:dyDescent="0.35">
      <c r="B9" t="s">
        <v>98</v>
      </c>
      <c r="C9">
        <v>321</v>
      </c>
      <c r="D9">
        <v>648</v>
      </c>
      <c r="E9">
        <v>325</v>
      </c>
      <c r="F9" s="26">
        <v>1222</v>
      </c>
      <c r="G9">
        <v>839</v>
      </c>
      <c r="H9">
        <v>569</v>
      </c>
      <c r="I9">
        <v>-863</v>
      </c>
      <c r="J9">
        <v>801</v>
      </c>
      <c r="K9" s="26">
        <v>-1162</v>
      </c>
      <c r="L9">
        <v>374</v>
      </c>
      <c r="M9">
        <v>-406</v>
      </c>
      <c r="N9">
        <v>-313</v>
      </c>
    </row>
    <row r="10" spans="2:14" x14ac:dyDescent="0.35">
      <c r="B10" t="s">
        <v>99</v>
      </c>
      <c r="C10">
        <v>742</v>
      </c>
      <c r="D10">
        <v>745</v>
      </c>
      <c r="E10" s="26">
        <v>1460</v>
      </c>
      <c r="F10" s="26">
        <v>2192</v>
      </c>
      <c r="G10" s="26">
        <v>2808</v>
      </c>
      <c r="H10" s="26">
        <v>-1315</v>
      </c>
      <c r="I10" s="26">
        <v>-2570</v>
      </c>
      <c r="J10" s="26">
        <v>4336</v>
      </c>
      <c r="K10" s="26">
        <v>-2813</v>
      </c>
      <c r="L10">
        <v>373</v>
      </c>
      <c r="M10" s="26">
        <v>1722</v>
      </c>
      <c r="N10">
        <v>-378</v>
      </c>
    </row>
    <row r="11" spans="2:14" x14ac:dyDescent="0.35">
      <c r="B11" t="s">
        <v>100</v>
      </c>
      <c r="C11">
        <v>-858</v>
      </c>
      <c r="D11" s="26">
        <v>-1075</v>
      </c>
      <c r="E11" s="26">
        <v>-1912</v>
      </c>
      <c r="F11" s="26">
        <v>-2323</v>
      </c>
      <c r="G11" s="26">
        <v>-3056</v>
      </c>
      <c r="H11" s="26">
        <v>-3144</v>
      </c>
      <c r="I11" s="26">
        <v>-1438</v>
      </c>
      <c r="J11" s="26">
        <v>-1011</v>
      </c>
      <c r="K11" s="26">
        <v>-1178</v>
      </c>
      <c r="L11" s="26">
        <v>-2233</v>
      </c>
      <c r="M11" s="26">
        <v>-3597</v>
      </c>
      <c r="N11" s="26">
        <v>-3807</v>
      </c>
    </row>
    <row r="12" spans="2:14" x14ac:dyDescent="0.35">
      <c r="B12" t="s">
        <v>101</v>
      </c>
      <c r="C12" s="26">
        <v>-4997</v>
      </c>
      <c r="D12" s="26">
        <v>-4491</v>
      </c>
      <c r="E12" s="26">
        <v>-7230</v>
      </c>
      <c r="F12" s="26">
        <v>-9173</v>
      </c>
      <c r="G12" s="26">
        <v>-8302</v>
      </c>
      <c r="H12" s="26">
        <v>-3540</v>
      </c>
      <c r="I12">
        <v>-557</v>
      </c>
      <c r="J12" s="26">
        <v>-7291</v>
      </c>
      <c r="K12">
        <v>-239</v>
      </c>
      <c r="L12" s="26">
        <v>-8036</v>
      </c>
      <c r="M12" s="26">
        <v>-11865</v>
      </c>
      <c r="N12" s="26">
        <v>-14456</v>
      </c>
    </row>
    <row r="13" spans="2:14" x14ac:dyDescent="0.35">
      <c r="B13" t="s">
        <v>102</v>
      </c>
      <c r="C13" s="26">
        <v>-3545</v>
      </c>
      <c r="D13" s="26">
        <v>-3058</v>
      </c>
      <c r="E13" s="26">
        <v>-2469</v>
      </c>
      <c r="F13" s="26">
        <v>-3391</v>
      </c>
      <c r="G13" s="26">
        <v>-3912</v>
      </c>
      <c r="H13" s="26">
        <v>-4872</v>
      </c>
      <c r="I13" s="26">
        <v>-3437</v>
      </c>
      <c r="J13" s="26">
        <v>-2370</v>
      </c>
      <c r="K13" s="26">
        <v>-3459</v>
      </c>
      <c r="L13" s="26">
        <v>-6347</v>
      </c>
      <c r="M13" s="26">
        <v>-9200</v>
      </c>
      <c r="N13" s="26">
        <v>-10641</v>
      </c>
    </row>
    <row r="14" spans="2:14" x14ac:dyDescent="0.35">
      <c r="B14" t="s">
        <v>103</v>
      </c>
      <c r="C14">
        <v>9</v>
      </c>
      <c r="D14">
        <v>16</v>
      </c>
      <c r="E14">
        <v>12</v>
      </c>
      <c r="F14">
        <v>16</v>
      </c>
      <c r="G14">
        <v>26</v>
      </c>
      <c r="H14">
        <v>170</v>
      </c>
      <c r="I14">
        <v>37</v>
      </c>
      <c r="J14">
        <v>42</v>
      </c>
      <c r="K14">
        <v>136</v>
      </c>
      <c r="L14">
        <v>100</v>
      </c>
      <c r="M14">
        <v>45</v>
      </c>
      <c r="N14">
        <v>38</v>
      </c>
    </row>
    <row r="15" spans="2:14" x14ac:dyDescent="0.35">
      <c r="B15" t="s">
        <v>104</v>
      </c>
      <c r="C15" s="26">
        <v>-13100</v>
      </c>
      <c r="D15" s="26">
        <v>-17354</v>
      </c>
      <c r="E15" s="26">
        <v>-12044</v>
      </c>
      <c r="F15" s="26">
        <v>-17716</v>
      </c>
      <c r="G15" s="26">
        <v>-47069</v>
      </c>
      <c r="H15" s="26">
        <v>-52957</v>
      </c>
      <c r="I15" s="26">
        <v>-44205</v>
      </c>
      <c r="J15" s="26">
        <v>-44869</v>
      </c>
      <c r="K15" s="26">
        <v>-60525</v>
      </c>
      <c r="L15" s="26">
        <v>-66597</v>
      </c>
      <c r="M15" s="26">
        <v>-65736</v>
      </c>
      <c r="N15" s="26">
        <v>-73882</v>
      </c>
    </row>
    <row r="16" spans="2:14" x14ac:dyDescent="0.35">
      <c r="B16" t="s">
        <v>105</v>
      </c>
      <c r="C16" s="26">
        <v>10450</v>
      </c>
      <c r="D16" s="26">
        <v>15270</v>
      </c>
      <c r="E16" s="26">
        <v>7378</v>
      </c>
      <c r="F16" s="26">
        <v>11839</v>
      </c>
      <c r="G16" s="26">
        <v>42564</v>
      </c>
      <c r="H16" s="26">
        <v>53986</v>
      </c>
      <c r="I16" s="26">
        <v>46969</v>
      </c>
      <c r="J16" s="26">
        <v>42920</v>
      </c>
      <c r="K16" s="26">
        <v>63579</v>
      </c>
      <c r="L16" s="26">
        <v>61605</v>
      </c>
      <c r="M16" s="26">
        <v>61933</v>
      </c>
      <c r="N16" s="26">
        <v>69795</v>
      </c>
    </row>
    <row r="17" spans="2:14" x14ac:dyDescent="0.35">
      <c r="B17" t="s">
        <v>106</v>
      </c>
      <c r="C17">
        <v>195</v>
      </c>
      <c r="D17">
        <v>152</v>
      </c>
      <c r="E17">
        <v>67</v>
      </c>
      <c r="F17">
        <v>36</v>
      </c>
      <c r="G17">
        <v>68</v>
      </c>
      <c r="H17">
        <v>124</v>
      </c>
      <c r="I17">
        <v>96</v>
      </c>
      <c r="J17">
        <v>67</v>
      </c>
      <c r="K17">
        <v>174</v>
      </c>
      <c r="L17">
        <v>194</v>
      </c>
      <c r="M17">
        <v>372</v>
      </c>
      <c r="N17">
        <v>444</v>
      </c>
    </row>
    <row r="18" spans="2:14" x14ac:dyDescent="0.35">
      <c r="B18" t="s">
        <v>107</v>
      </c>
      <c r="C18">
        <v>54</v>
      </c>
      <c r="D18">
        <v>54</v>
      </c>
      <c r="E18">
        <v>11</v>
      </c>
      <c r="F18">
        <v>13</v>
      </c>
      <c r="G18">
        <v>20</v>
      </c>
      <c r="H18">
        <v>9</v>
      </c>
      <c r="I18">
        <v>4</v>
      </c>
      <c r="J18">
        <v>3</v>
      </c>
      <c r="K18">
        <v>3</v>
      </c>
      <c r="L18">
        <v>6</v>
      </c>
      <c r="M18">
        <v>6</v>
      </c>
      <c r="N18">
        <v>9</v>
      </c>
    </row>
    <row r="19" spans="2:14" x14ac:dyDescent="0.35">
      <c r="B19" t="s">
        <v>108</v>
      </c>
      <c r="C19">
        <v>0</v>
      </c>
      <c r="D19">
        <v>0</v>
      </c>
      <c r="E19">
        <v>0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 t="s">
        <v>109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-15</v>
      </c>
      <c r="J20">
        <v>-65</v>
      </c>
      <c r="K20">
        <v>-146</v>
      </c>
      <c r="L20">
        <v>0</v>
      </c>
      <c r="M20">
        <v>-80</v>
      </c>
      <c r="N20">
        <v>-18</v>
      </c>
    </row>
    <row r="21" spans="2:14" x14ac:dyDescent="0.35">
      <c r="B21" t="s">
        <v>110</v>
      </c>
      <c r="C21">
        <v>940</v>
      </c>
      <c r="D21">
        <v>428</v>
      </c>
      <c r="E21">
        <v>-186</v>
      </c>
      <c r="F21">
        <v>7</v>
      </c>
      <c r="G21">
        <v>0</v>
      </c>
      <c r="H21">
        <v>0</v>
      </c>
      <c r="I21">
        <v>-5</v>
      </c>
      <c r="J21" s="26">
        <v>-3019</v>
      </c>
      <c r="K21">
        <v>-1</v>
      </c>
      <c r="L21" s="26">
        <v>3003</v>
      </c>
      <c r="M21">
        <v>795</v>
      </c>
      <c r="N21">
        <v>-201</v>
      </c>
    </row>
    <row r="22" spans="2:14" x14ac:dyDescent="0.35">
      <c r="B22" t="s">
        <v>111</v>
      </c>
      <c r="C22">
        <v>-74</v>
      </c>
      <c r="D22" s="26">
        <v>-2004</v>
      </c>
      <c r="E22" s="26">
        <v>-1237</v>
      </c>
      <c r="F22" s="26">
        <v>-1129</v>
      </c>
      <c r="G22" s="26">
        <v>-3436</v>
      </c>
      <c r="H22" s="26">
        <v>-2948</v>
      </c>
      <c r="I22" s="26">
        <v>-3104</v>
      </c>
      <c r="J22" s="26">
        <v>-1545</v>
      </c>
      <c r="K22" s="26">
        <v>-1607</v>
      </c>
      <c r="L22" s="26">
        <v>-1213</v>
      </c>
      <c r="M22" s="26">
        <v>-4062</v>
      </c>
      <c r="N22" s="26">
        <v>-4155</v>
      </c>
    </row>
    <row r="23" spans="2:14" x14ac:dyDescent="0.35">
      <c r="B23" t="s">
        <v>112</v>
      </c>
      <c r="C23" s="26">
        <v>1264</v>
      </c>
      <c r="D23">
        <v>92</v>
      </c>
      <c r="E23">
        <v>77</v>
      </c>
      <c r="F23">
        <v>484</v>
      </c>
      <c r="G23">
        <v>10</v>
      </c>
      <c r="H23">
        <v>39</v>
      </c>
      <c r="I23">
        <v>0</v>
      </c>
      <c r="J23">
        <v>380</v>
      </c>
      <c r="K23">
        <v>0</v>
      </c>
      <c r="L23">
        <v>831</v>
      </c>
      <c r="M23">
        <v>0</v>
      </c>
      <c r="N23">
        <v>0</v>
      </c>
    </row>
    <row r="24" spans="2:14" x14ac:dyDescent="0.35">
      <c r="B24" t="s">
        <v>113</v>
      </c>
      <c r="C24">
        <v>-885</v>
      </c>
      <c r="D24" s="26">
        <v>-1449</v>
      </c>
      <c r="E24">
        <v>-313</v>
      </c>
      <c r="F24">
        <v>-231</v>
      </c>
      <c r="G24">
        <v>-373</v>
      </c>
      <c r="H24">
        <v>0</v>
      </c>
      <c r="I24">
        <v>-46</v>
      </c>
      <c r="J24">
        <v>0</v>
      </c>
      <c r="K24">
        <v>-110</v>
      </c>
      <c r="L24">
        <v>0</v>
      </c>
      <c r="M24" s="26">
        <v>-1183</v>
      </c>
      <c r="N24">
        <v>-33</v>
      </c>
    </row>
    <row r="25" spans="2:14" x14ac:dyDescent="0.35">
      <c r="B25" t="s">
        <v>114</v>
      </c>
      <c r="C25">
        <v>-170</v>
      </c>
      <c r="D25">
        <v>-222</v>
      </c>
      <c r="E25">
        <v>-92</v>
      </c>
      <c r="F25">
        <v>-110</v>
      </c>
      <c r="G25">
        <v>-346</v>
      </c>
      <c r="H25">
        <v>-73</v>
      </c>
      <c r="I25">
        <v>-136</v>
      </c>
      <c r="J25">
        <v>-102</v>
      </c>
      <c r="K25">
        <v>-130</v>
      </c>
      <c r="L25">
        <v>-186</v>
      </c>
      <c r="M25">
        <v>-147</v>
      </c>
      <c r="N25">
        <v>-167</v>
      </c>
    </row>
    <row r="26" spans="2:14" x14ac:dyDescent="0.35">
      <c r="B26" t="s">
        <v>115</v>
      </c>
      <c r="C26">
        <v>-242</v>
      </c>
      <c r="D26">
        <v>-362</v>
      </c>
      <c r="E26">
        <v>-755</v>
      </c>
      <c r="F26" s="26">
        <v>-1057</v>
      </c>
      <c r="G26" s="26">
        <v>-2266</v>
      </c>
      <c r="H26" s="26">
        <v>-2417</v>
      </c>
      <c r="I26" s="26">
        <v>-2417</v>
      </c>
      <c r="J26" s="26">
        <v>-1812</v>
      </c>
      <c r="K26" s="26">
        <v>-1359</v>
      </c>
      <c r="L26" s="26">
        <v>-1812</v>
      </c>
      <c r="M26" s="26">
        <v>-2719</v>
      </c>
      <c r="N26" s="26">
        <v>-3930</v>
      </c>
    </row>
    <row r="27" spans="2:14" x14ac:dyDescent="0.35">
      <c r="B27" t="s">
        <v>116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-10</v>
      </c>
      <c r="J27">
        <v>-11</v>
      </c>
      <c r="K27">
        <v>-8</v>
      </c>
      <c r="L27">
        <v>-46</v>
      </c>
      <c r="M27">
        <v>-13</v>
      </c>
      <c r="N27">
        <v>-25</v>
      </c>
    </row>
    <row r="28" spans="2:14" x14ac:dyDescent="0.35">
      <c r="B28" t="s">
        <v>117</v>
      </c>
      <c r="C28">
        <v>-41</v>
      </c>
      <c r="D28">
        <v>-62</v>
      </c>
      <c r="E28">
        <v>-154</v>
      </c>
      <c r="F28">
        <v>-215</v>
      </c>
      <c r="G28">
        <v>-461</v>
      </c>
      <c r="H28">
        <v>-497</v>
      </c>
      <c r="I28">
        <v>-497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5">
      <c r="B29" t="s">
        <v>20</v>
      </c>
      <c r="C29">
        <v>-76</v>
      </c>
      <c r="D29">
        <v>-45</v>
      </c>
      <c r="E29">
        <v>16</v>
      </c>
      <c r="F29">
        <v>-20</v>
      </c>
      <c r="G29">
        <v>50</v>
      </c>
      <c r="H29">
        <v>113</v>
      </c>
      <c r="I29">
        <v>-165</v>
      </c>
      <c r="J29">
        <v>20</v>
      </c>
      <c r="K29">
        <v>-6</v>
      </c>
      <c r="L29">
        <v>2</v>
      </c>
      <c r="M29">
        <v>874</v>
      </c>
      <c r="N29" s="26">
        <v>-2475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FINANCIALS&gt;</vt:lpstr>
      <vt:lpstr>HISTORIACLFINANCIALS</vt:lpstr>
      <vt:lpstr>RATIO ANALYSIS</vt:lpstr>
      <vt:lpstr>FORECASTING</vt:lpstr>
      <vt:lpstr>Data Sheet</vt:lpstr>
      <vt:lpstr>Cash Flow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Abdul rahman</cp:lastModifiedBy>
  <cp:lastPrinted>2012-12-06T18:14:13Z</cp:lastPrinted>
  <dcterms:created xsi:type="dcterms:W3CDTF">2012-08-17T09:55:37Z</dcterms:created>
  <dcterms:modified xsi:type="dcterms:W3CDTF">2026-02-14T07:36:58Z</dcterms:modified>
</cp:coreProperties>
</file>